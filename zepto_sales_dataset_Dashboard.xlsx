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Data Analysis Projects\Zepto_Sales\"/>
    </mc:Choice>
  </mc:AlternateContent>
  <bookViews>
    <workbookView xWindow="0" yWindow="0" windowWidth="23040" windowHeight="9780" activeTab="6"/>
  </bookViews>
  <sheets>
    <sheet name="Sheet5" sheetId="6" r:id="rId1"/>
    <sheet name="Sheet6" sheetId="7" r:id="rId2"/>
    <sheet name="Sheet7" sheetId="8" r:id="rId3"/>
    <sheet name="Sheet8" sheetId="9" r:id="rId4"/>
    <sheet name="zepto_sales_dataset" sheetId="1" r:id="rId5"/>
    <sheet name="KPIs" sheetId="2" r:id="rId6"/>
    <sheet name="Dashboard" sheetId="4" r:id="rId7"/>
  </sheets>
  <definedNames>
    <definedName name="Slicer_Category">#N/A</definedName>
    <definedName name="Slicer_City">#N/A</definedName>
    <definedName name="Slicer_Influencer_Active">#N/A</definedName>
    <definedName name="zepto_sales">zepto_sales_dataset!$A$2:$J$301</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 i="2" l="1"/>
  <c r="B2" i="2"/>
  <c r="C2" i="2" l="1"/>
  <c r="A2" i="2"/>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2" i="1"/>
</calcChain>
</file>

<file path=xl/sharedStrings.xml><?xml version="1.0" encoding="utf-8"?>
<sst xmlns="http://schemas.openxmlformats.org/spreadsheetml/2006/main" count="1241" uniqueCount="43">
  <si>
    <t>Product Name</t>
  </si>
  <si>
    <t>Category</t>
  </si>
  <si>
    <t>City</t>
  </si>
  <si>
    <t>Original Price</t>
  </si>
  <si>
    <t>Current Price</t>
  </si>
  <si>
    <t>Discount</t>
  </si>
  <si>
    <t>Orders</t>
  </si>
  <si>
    <t>Total Revenue</t>
  </si>
  <si>
    <t>Influencer Active</t>
  </si>
  <si>
    <t>Britannia Cake</t>
  </si>
  <si>
    <t>Snacks</t>
  </si>
  <si>
    <t>Delhi</t>
  </si>
  <si>
    <t>No</t>
  </si>
  <si>
    <t>Pune</t>
  </si>
  <si>
    <t>Yes</t>
  </si>
  <si>
    <t>Fortune Oil 1L</t>
  </si>
  <si>
    <t>Grocery</t>
  </si>
  <si>
    <t>Hyderabad</t>
  </si>
  <si>
    <t>Pepsi 500ml</t>
  </si>
  <si>
    <t>Beverages</t>
  </si>
  <si>
    <t>Aashirvaad Atta</t>
  </si>
  <si>
    <t>Chennai</t>
  </si>
  <si>
    <t>Amul Milk 500ml</t>
  </si>
  <si>
    <t>Dairy</t>
  </si>
  <si>
    <t>Bangalore</t>
  </si>
  <si>
    <t>Mumbai</t>
  </si>
  <si>
    <t>Maggi Noodles</t>
  </si>
  <si>
    <t>Instant Food</t>
  </si>
  <si>
    <t>Oreo Biscuits</t>
  </si>
  <si>
    <t>Coca Cola 1L</t>
  </si>
  <si>
    <t>Parle-G</t>
  </si>
  <si>
    <t>Nestle Munch</t>
  </si>
  <si>
    <t>Confectionery</t>
  </si>
  <si>
    <t>Revenue</t>
  </si>
  <si>
    <t>Revenue per Order</t>
  </si>
  <si>
    <t>Total Order</t>
  </si>
  <si>
    <t>Average Order Value</t>
  </si>
  <si>
    <t>Average Discount %</t>
  </si>
  <si>
    <t>Row Labels</t>
  </si>
  <si>
    <t>Grand Total</t>
  </si>
  <si>
    <t>Sum of Revenue</t>
  </si>
  <si>
    <t>Sum of Orders</t>
  </si>
  <si>
    <t>Average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</si>
</sst>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0.0"/>
    <numFmt numFmtId="165" formatCode="&quot;₹&quot;\ #,##0.00"/>
    <numFmt numFmtId="173" formatCode="&quot;₹&quot;\ #,##0"/>
    <numFmt numFmtId="176" formatCode="_ * #,##0_ ;_ * \-#,##0_ ;_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0" fontId="0" fillId="34" borderId="10" xfId="0" applyFont="1" applyFill="1" applyBorder="1"/>
    <xf numFmtId="0" fontId="0" fillId="0" borderId="10" xfId="0" applyFont="1" applyBorder="1"/>
    <xf numFmtId="0" fontId="13" fillId="33" borderId="0" xfId="0" applyFont="1" applyFill="1"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73" fontId="0" fillId="0" borderId="0" xfId="0" applyNumberFormat="1"/>
    <xf numFmtId="9" fontId="0" fillId="0" borderId="0" xfId="43" applyFont="1"/>
    <xf numFmtId="176" fontId="0" fillId="0" borderId="0" xfId="42"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86">
    <dxf>
      <numFmt numFmtId="34" formatCode="_ &quot;₹&quot;\ * #,##0.00_ ;_ &quot;₹&quot;\ * \-#,##0.00_ ;_ &quot;₹&quot;\ * &quot;-&quot;??_ ;_ @_ "/>
    </dxf>
    <dxf>
      <numFmt numFmtId="165" formatCode="&quot;₹&quot;\ #,##0.00"/>
    </dxf>
    <dxf>
      <numFmt numFmtId="172" formatCode="&quot;₹&quot;\ #,##0.0"/>
    </dxf>
    <dxf>
      <numFmt numFmtId="173" formatCode="&quot;₹&quot;\ #,##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 formatCode="0"/>
    </dxf>
    <dxf>
      <numFmt numFmtId="164" formatCode="0.0"/>
    </dxf>
    <dxf>
      <numFmt numFmtId="169" formatCode="0.00000"/>
    </dxf>
    <dxf>
      <numFmt numFmtId="170" formatCode="0.0000"/>
    </dxf>
    <dxf>
      <numFmt numFmtId="171" formatCode="0.000"/>
    </dxf>
    <dxf>
      <numFmt numFmtId="2" formatCode="0.00"/>
    </dxf>
    <dxf>
      <numFmt numFmtId="164" formatCode="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5" formatCode="&quot;₹&quot;\ #,##0.00"/>
    </dxf>
    <dxf>
      <numFmt numFmtId="0" formatCode="General"/>
    </dxf>
    <dxf>
      <numFmt numFmtId="165" formatCode="&quot;₹&quot;\ #,##0.00"/>
    </dxf>
    <dxf>
      <numFmt numFmtId="172" formatCode="&quot;₹&quot;\ #,##0.0"/>
    </dxf>
    <dxf>
      <numFmt numFmtId="173" formatCode="&quot;₹&quot;\ #,##0"/>
    </dxf>
    <dxf>
      <numFmt numFmtId="165" formatCode="&quot;₹&quot;\ #,##0.00"/>
    </dxf>
    <dxf>
      <numFmt numFmtId="172" formatCode="&quot;₹&quot;\ #,##0.0"/>
    </dxf>
    <dxf>
      <numFmt numFmtId="173" formatCode="&quot;₹&quot;\ #,##0"/>
    </dxf>
    <dxf>
      <numFmt numFmtId="34" formatCode="_ &quot;₹&quot;\ * #,##0.00_ ;_ &quot;₹&quot;\ * \-#,##0.00_ ;_ &quot;₹&quot;\ * &quot;-&quot;??_ ;_ @_ "/>
    </dxf>
    <dxf>
      <numFmt numFmtId="165" formatCode="&quot;₹&quot;\ #,##0.00"/>
    </dxf>
    <dxf>
      <numFmt numFmtId="172" formatCode="&quot;₹&quot;\ #,##0.0"/>
    </dxf>
    <dxf>
      <numFmt numFmtId="173" formatCode="&quot;₹&quot;\ #,##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 formatCode="0"/>
    </dxf>
    <dxf>
      <numFmt numFmtId="164" formatCode="0.0"/>
    </dxf>
    <dxf>
      <numFmt numFmtId="169" formatCode="0.00000"/>
    </dxf>
    <dxf>
      <numFmt numFmtId="170" formatCode="0.0000"/>
    </dxf>
    <dxf>
      <numFmt numFmtId="171" formatCode="0.000"/>
    </dxf>
    <dxf>
      <numFmt numFmtId="2" formatCode="0.00"/>
    </dxf>
    <dxf>
      <numFmt numFmtId="164" formatCode="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5" formatCode="&quot;₹&quot;\ #,##0.00"/>
    </dxf>
    <dxf>
      <numFmt numFmtId="0" formatCode="General"/>
    </dxf>
    <dxf>
      <numFmt numFmtId="165" formatCode="&quot;₹&quot;\ #,##0.00"/>
    </dxf>
    <dxf>
      <numFmt numFmtId="172" formatCode="&quot;₹&quot;\ #,##0.0"/>
    </dxf>
    <dxf>
      <numFmt numFmtId="173" formatCode="&quot;₹&quot;\ #,##0"/>
    </dxf>
    <dxf>
      <numFmt numFmtId="165" formatCode="&quot;₹&quot;\ #,##0.00"/>
    </dxf>
    <dxf>
      <numFmt numFmtId="172" formatCode="&quot;₹&quot;\ #,##0.0"/>
    </dxf>
    <dxf>
      <numFmt numFmtId="173" formatCode="&quot;₹&quot;\ #,##0"/>
    </dxf>
    <dxf>
      <numFmt numFmtId="34" formatCode="_ &quot;₹&quot;\ * #,##0.00_ ;_ &quot;₹&quot;\ * \-#,##0.00_ ;_ &quot;₹&quot;\ * &quot;-&quot;??_ ;_ @_ "/>
    </dxf>
    <dxf>
      <numFmt numFmtId="165" formatCode="&quot;₹&quot;\ #,##0.00"/>
    </dxf>
    <dxf>
      <numFmt numFmtId="172" formatCode="&quot;₹&quot;\ #,##0.0"/>
    </dxf>
    <dxf>
      <numFmt numFmtId="173" formatCode="&quot;₹&quot;\ #,##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 formatCode="0"/>
    </dxf>
    <dxf>
      <numFmt numFmtId="164" formatCode="0.0"/>
    </dxf>
    <dxf>
      <numFmt numFmtId="169" formatCode="0.00000"/>
    </dxf>
    <dxf>
      <numFmt numFmtId="170" formatCode="0.0000"/>
    </dxf>
    <dxf>
      <numFmt numFmtId="171" formatCode="0.000"/>
    </dxf>
    <dxf>
      <numFmt numFmtId="2" formatCode="0.00"/>
    </dxf>
    <dxf>
      <numFmt numFmtId="164" formatCode="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5" formatCode="&quot;₹&quot;\ #,##0.00"/>
    </dxf>
    <dxf>
      <numFmt numFmtId="0" formatCode="General"/>
    </dxf>
    <dxf>
      <numFmt numFmtId="165" formatCode="&quot;₹&quot;\ #,##0.00"/>
    </dxf>
    <dxf>
      <numFmt numFmtId="172" formatCode="&quot;₹&quot;\ #,##0.0"/>
    </dxf>
    <dxf>
      <numFmt numFmtId="173" formatCode="&quot;₹&quot;\ #,##0"/>
    </dxf>
    <dxf>
      <numFmt numFmtId="165" formatCode="&quot;₹&quot;\ #,##0.00"/>
    </dxf>
    <dxf>
      <numFmt numFmtId="172" formatCode="&quot;₹&quot;\ #,##0.0"/>
    </dxf>
    <dxf>
      <numFmt numFmtId="173" formatCode="&quot;₹&quot;\ #,##0"/>
    </dxf>
    <dxf>
      <numFmt numFmtId="34" formatCode="_ &quot;₹&quot;\ * #,##0.00_ ;_ &quot;₹&quot;\ * \-#,##0.00_ ;_ &quot;₹&quot;\ * &quot;-&quot;??_ ;_ @_ "/>
    </dxf>
    <dxf>
      <numFmt numFmtId="165" formatCode="&quot;₹&quot;\ #,##0.00"/>
    </dxf>
    <dxf>
      <numFmt numFmtId="172" formatCode="&quot;₹&quot;\ #,##0.0"/>
    </dxf>
    <dxf>
      <numFmt numFmtId="173" formatCode="&quot;₹&quot;\ #,##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 formatCode="0"/>
    </dxf>
    <dxf>
      <numFmt numFmtId="164" formatCode="0.0"/>
    </dxf>
    <dxf>
      <numFmt numFmtId="169" formatCode="0.00000"/>
    </dxf>
    <dxf>
      <numFmt numFmtId="170" formatCode="0.0000"/>
    </dxf>
    <dxf>
      <numFmt numFmtId="171" formatCode="0.000"/>
    </dxf>
    <dxf>
      <numFmt numFmtId="2" formatCode="0.00"/>
    </dxf>
    <dxf>
      <numFmt numFmtId="164" formatCode="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5" formatCode="&quot;₹&quot;\ #,##0.00"/>
    </dxf>
    <dxf>
      <numFmt numFmtId="0" formatCode="General"/>
    </dxf>
    <dxf>
      <numFmt numFmtId="165" formatCode="&quot;₹&quot;\ #,##0.00"/>
    </dxf>
    <dxf>
      <numFmt numFmtId="172" formatCode="&quot;₹&quot;\ #,##0.0"/>
    </dxf>
    <dxf>
      <numFmt numFmtId="173" formatCode="&quot;₹&quot;\ #,##0"/>
    </dxf>
    <dxf>
      <numFmt numFmtId="165" formatCode="&quot;₹&quot;\ #,##0.00"/>
    </dxf>
    <dxf>
      <numFmt numFmtId="172" formatCode="&quot;₹&quot;\ #,##0.0"/>
    </dxf>
    <dxf>
      <numFmt numFmtId="173" formatCode="&quot;₹&quot;\ #,##0"/>
    </dxf>
    <dxf>
      <numFmt numFmtId="34" formatCode="_ &quot;₹&quot;\ * #,##0.00_ ;_ &quot;₹&quot;\ * \-#,##0.00_ ;_ &quot;₹&quot;\ * &quot;-&quot;??_ ;_ @_ "/>
    </dxf>
    <dxf>
      <numFmt numFmtId="165" formatCode="&quot;₹&quot;\ #,##0.00"/>
    </dxf>
    <dxf>
      <numFmt numFmtId="172" formatCode="&quot;₹&quot;\ #,##0.0"/>
    </dxf>
    <dxf>
      <numFmt numFmtId="173" formatCode="&quot;₹&quot;\ #,##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 formatCode="0"/>
    </dxf>
    <dxf>
      <numFmt numFmtId="164" formatCode="0.0"/>
    </dxf>
    <dxf>
      <numFmt numFmtId="169" formatCode="0.00000"/>
    </dxf>
    <dxf>
      <numFmt numFmtId="170" formatCode="0.0000"/>
    </dxf>
    <dxf>
      <numFmt numFmtId="171" formatCode="0.000"/>
    </dxf>
    <dxf>
      <numFmt numFmtId="2" formatCode="0.00"/>
    </dxf>
    <dxf>
      <numFmt numFmtId="164" formatCode="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5" formatCode="&quot;₹&quot;\ #,##0.00"/>
    </dxf>
    <dxf>
      <numFmt numFmtId="0" formatCode="General"/>
    </dxf>
    <dxf>
      <numFmt numFmtId="165" formatCode="&quot;₹&quot;\ #,##0.00"/>
    </dxf>
    <dxf>
      <numFmt numFmtId="172" formatCode="&quot;₹&quot;\ #,##0.0"/>
    </dxf>
    <dxf>
      <numFmt numFmtId="173" formatCode="&quot;₹&quot;\ #,##0"/>
    </dxf>
    <dxf>
      <numFmt numFmtId="165" formatCode="&quot;₹&quot;\ #,##0.00"/>
    </dxf>
    <dxf>
      <numFmt numFmtId="172" formatCode="&quot;₹&quot;\ #,##0.0"/>
    </dxf>
    <dxf>
      <numFmt numFmtId="173" formatCode="&quot;₹&quot;\ #,##0"/>
    </dxf>
    <dxf>
      <numFmt numFmtId="34" formatCode="_ &quot;₹&quot;\ * #,##0.00_ ;_ &quot;₹&quot;\ * \-#,##0.00_ ;_ &quot;₹&quot;\ * &quot;-&quot;??_ ;_ @_ "/>
    </dxf>
    <dxf>
      <numFmt numFmtId="165" formatCode="&quot;₹&quot;\ #,##0.00"/>
    </dxf>
    <dxf>
      <numFmt numFmtId="172" formatCode="&quot;₹&quot;\ #,##0.0"/>
    </dxf>
    <dxf>
      <numFmt numFmtId="173" formatCode="&quot;₹&quot;\ #,##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 formatCode="0"/>
    </dxf>
    <dxf>
      <numFmt numFmtId="164" formatCode="0.0"/>
    </dxf>
    <dxf>
      <numFmt numFmtId="169" formatCode="0.00000"/>
    </dxf>
    <dxf>
      <numFmt numFmtId="170" formatCode="0.0000"/>
    </dxf>
    <dxf>
      <numFmt numFmtId="171" formatCode="0.000"/>
    </dxf>
    <dxf>
      <numFmt numFmtId="2" formatCode="0.00"/>
    </dxf>
    <dxf>
      <numFmt numFmtId="164" formatCode="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5" formatCode="&quot;₹&quot;\ #,##0.00"/>
    </dxf>
    <dxf>
      <numFmt numFmtId="0" formatCode="General"/>
    </dxf>
    <dxf>
      <numFmt numFmtId="165" formatCode="&quot;₹&quot;\ #,##0.00"/>
    </dxf>
    <dxf>
      <numFmt numFmtId="172" formatCode="&quot;₹&quot;\ #,##0.0"/>
    </dxf>
    <dxf>
      <numFmt numFmtId="173" formatCode="&quot;₹&quot;\ #,##0"/>
    </dxf>
    <dxf>
      <numFmt numFmtId="165" formatCode="&quot;₹&quot;\ #,##0.00"/>
    </dxf>
    <dxf>
      <numFmt numFmtId="172" formatCode="&quot;₹&quot;\ #,##0.0"/>
    </dxf>
    <dxf>
      <numFmt numFmtId="173" formatCode="&quot;₹&quot;\ #,##0"/>
    </dxf>
    <dxf>
      <numFmt numFmtId="173" formatCode="&quot;₹&quot;\ #,##0"/>
    </dxf>
    <dxf>
      <numFmt numFmtId="172" formatCode="&quot;₹&quot;\ #,##0.0"/>
    </dxf>
    <dxf>
      <numFmt numFmtId="173" formatCode="&quot;₹&quot;\ #,##0"/>
    </dxf>
    <dxf>
      <numFmt numFmtId="172" formatCode="&quot;₹&quot;\ #,##0.0"/>
    </dxf>
    <dxf>
      <numFmt numFmtId="173" formatCode="&quot;₹&quot;\ #,##0"/>
    </dxf>
    <dxf>
      <numFmt numFmtId="172" formatCode="&quot;₹&quot;\ #,##0.0"/>
    </dxf>
    <dxf>
      <numFmt numFmtId="165" formatCode="&quot;₹&quot;\ #,##0.00"/>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theme="4"/>
        </patternFill>
      </fill>
    </dxf>
    <dxf>
      <numFmt numFmtId="165" formatCode="&quot;₹&quot;\ #,##0.00"/>
    </dxf>
    <dxf>
      <numFmt numFmtId="34" formatCode="_ &quot;₹&quot;\ * #,##0.00_ ;_ &quot;₹&quot;\ * \-#,##0.00_ ;_ &quot;₹&quot;\ * &quot;-&quot;??_ ;_ @_ "/>
    </dxf>
    <dxf>
      <numFmt numFmtId="164" formatCode="0.0"/>
    </dxf>
    <dxf>
      <numFmt numFmtId="2" formatCode="0.00"/>
    </dxf>
    <dxf>
      <numFmt numFmtId="171" formatCode="0.000"/>
    </dxf>
    <dxf>
      <numFmt numFmtId="170" formatCode="0.0000"/>
    </dxf>
    <dxf>
      <numFmt numFmtId="169" formatCode="0.00000"/>
    </dxf>
    <dxf>
      <numFmt numFmtId="168" formatCode="0.000000"/>
    </dxf>
    <dxf>
      <numFmt numFmtId="164" formatCode="0.0"/>
    </dxf>
    <dxf>
      <numFmt numFmtId="2" formatCode="0.00"/>
    </dxf>
    <dxf>
      <numFmt numFmtId="171" formatCode="0.000"/>
    </dxf>
    <dxf>
      <numFmt numFmtId="170" formatCode="0.0000"/>
    </dxf>
    <dxf>
      <numFmt numFmtId="169" formatCode="0.00000"/>
    </dxf>
    <dxf>
      <numFmt numFmtId="164" formatCode="0.0"/>
    </dxf>
    <dxf>
      <numFmt numFmtId="1" formatCode="0"/>
    </dxf>
    <dxf>
      <numFmt numFmtId="164" formatCode="0.0"/>
    </dxf>
    <dxf>
      <numFmt numFmtId="2" formatCode="0.00"/>
    </dxf>
    <dxf>
      <numFmt numFmtId="171" formatCode="0.000"/>
    </dxf>
    <dxf>
      <numFmt numFmtId="170" formatCode="0.0000"/>
    </dxf>
    <dxf>
      <numFmt numFmtId="169" formatCode="0.00000"/>
    </dxf>
    <dxf>
      <numFmt numFmtId="168" formatCode="0.000000"/>
    </dxf>
    <dxf>
      <numFmt numFmtId="164" formatCode="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165" formatCode="&quot;₹&quot;\ #,##0.00"/>
    </dxf>
    <dxf>
      <numFmt numFmtId="0" formatCode="General"/>
    </dxf>
    <dxf>
      <numFmt numFmtId="165" formatCode="&quot;₹&quot;\ #,##0.00"/>
    </dxf>
  </dxfs>
  <tableStyles count="0" defaultTableStyle="TableStyleMedium2" defaultPivotStyle="PivotStyleLight16"/>
  <colors>
    <mruColors>
      <color rgb="FF950E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[zepto_sales_dataset_Dashboard.xlsx]Sheet5!PivotTable2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50EDB"/>
          </a:solidFill>
          <a:ln>
            <a:noFill/>
          </a:ln>
          <a:effectLst/>
        </c:spPr>
      </c:pivotFmt>
      <c:pivotFmt>
        <c:idx val="2"/>
        <c:spPr>
          <a:solidFill>
            <a:srgbClr val="950EDB"/>
          </a:solidFill>
          <a:ln>
            <a:noFill/>
          </a:ln>
          <a:effectLst/>
        </c:spPr>
      </c:pivotFmt>
      <c:pivotFmt>
        <c:idx val="3"/>
        <c:spPr>
          <a:solidFill>
            <a:srgbClr val="950EDB"/>
          </a:solidFill>
          <a:ln>
            <a:noFill/>
          </a:ln>
          <a:effectLst/>
        </c:spPr>
      </c:pivotFmt>
      <c:pivotFmt>
        <c:idx val="4"/>
        <c:spPr>
          <a:solidFill>
            <a:srgbClr val="950EDB"/>
          </a:solidFill>
          <a:ln>
            <a:noFill/>
          </a:ln>
          <a:effectLst/>
        </c:spPr>
      </c:pivotFmt>
      <c:pivotFmt>
        <c:idx val="5"/>
        <c:spPr>
          <a:solidFill>
            <a:srgbClr val="950EDB"/>
          </a:solidFill>
          <a:ln>
            <a:noFill/>
          </a:ln>
          <a:effectLst/>
        </c:spPr>
      </c:pivotFmt>
      <c:pivotFmt>
        <c:idx val="6"/>
        <c:spPr>
          <a:solidFill>
            <a:srgbClr val="950EDB"/>
          </a:solidFill>
          <a:ln>
            <a:noFill/>
          </a:ln>
          <a:effectLst/>
        </c:spPr>
      </c:pivotFmt>
      <c:pivotFmt>
        <c:idx val="7"/>
        <c:spPr>
          <a:solidFill>
            <a:srgbClr val="950ED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950EDB"/>
          </a:solidFill>
          <a:ln>
            <a:noFill/>
          </a:ln>
          <a:effectLst/>
        </c:spPr>
      </c:pivotFmt>
      <c:pivotFmt>
        <c:idx val="9"/>
        <c:spPr>
          <a:solidFill>
            <a:srgbClr val="950EDB"/>
          </a:solidFill>
          <a:ln>
            <a:noFill/>
          </a:ln>
          <a:effectLst/>
        </c:spPr>
      </c:pivotFmt>
    </c:pivotFmts>
    <c:plotArea>
      <c:layout/>
      <c:barChart>
        <c:barDir val="col"/>
        <c:grouping val="clustered"/>
        <c:varyColors val="0"/>
        <c:ser>
          <c:idx val="0"/>
          <c:order val="0"/>
          <c:tx>
            <c:strRef>
              <c:f>Sheet5!$B$3</c:f>
              <c:strCache>
                <c:ptCount val="1"/>
                <c:pt idx="0">
                  <c:v>Total</c:v>
                </c:pt>
              </c:strCache>
            </c:strRef>
          </c:tx>
          <c:spPr>
            <a:solidFill>
              <a:srgbClr val="950EDB"/>
            </a:solidFill>
            <a:ln>
              <a:noFill/>
            </a:ln>
            <a:effectLst/>
          </c:spPr>
          <c:invertIfNegative val="0"/>
          <c:dPt>
            <c:idx val="0"/>
            <c:invertIfNegative val="0"/>
            <c:bubble3D val="0"/>
            <c:spPr>
              <a:solidFill>
                <a:srgbClr val="950EDB"/>
              </a:solidFill>
              <a:ln>
                <a:noFill/>
              </a:ln>
              <a:effectLst/>
            </c:spPr>
            <c:extLst>
              <c:ext xmlns:c16="http://schemas.microsoft.com/office/drawing/2014/chart" uri="{C3380CC4-5D6E-409C-BE32-E72D297353CC}">
                <c16:uniqueId val="{00000003-1B6C-4577-AF44-438F22C523DB}"/>
              </c:ext>
            </c:extLst>
          </c:dPt>
          <c:dPt>
            <c:idx val="1"/>
            <c:invertIfNegative val="0"/>
            <c:bubble3D val="0"/>
            <c:extLst>
              <c:ext xmlns:c16="http://schemas.microsoft.com/office/drawing/2014/chart" uri="{C3380CC4-5D6E-409C-BE32-E72D297353CC}">
                <c16:uniqueId val="{00000002-1984-471C-987B-CC833770CD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Snacks</c:v>
                </c:pt>
                <c:pt idx="1">
                  <c:v>Beverages</c:v>
                </c:pt>
                <c:pt idx="2">
                  <c:v>Grocery</c:v>
                </c:pt>
                <c:pt idx="3">
                  <c:v>Instant Food</c:v>
                </c:pt>
                <c:pt idx="4">
                  <c:v>Confectionery</c:v>
                </c:pt>
                <c:pt idx="5">
                  <c:v>Dairy</c:v>
                </c:pt>
              </c:strCache>
            </c:strRef>
          </c:cat>
          <c:val>
            <c:numRef>
              <c:f>Sheet5!$B$4:$B$10</c:f>
              <c:numCache>
                <c:formatCode>"₹"\ #,##0</c:formatCode>
                <c:ptCount val="6"/>
                <c:pt idx="0">
                  <c:v>1712447</c:v>
                </c:pt>
                <c:pt idx="1">
                  <c:v>1227002</c:v>
                </c:pt>
                <c:pt idx="2">
                  <c:v>955353</c:v>
                </c:pt>
                <c:pt idx="3">
                  <c:v>661477</c:v>
                </c:pt>
                <c:pt idx="4">
                  <c:v>647424</c:v>
                </c:pt>
                <c:pt idx="5">
                  <c:v>579648</c:v>
                </c:pt>
              </c:numCache>
            </c:numRef>
          </c:val>
          <c:extLst>
            <c:ext xmlns:c16="http://schemas.microsoft.com/office/drawing/2014/chart" uri="{C3380CC4-5D6E-409C-BE32-E72D297353CC}">
              <c16:uniqueId val="{00000000-1B6C-4577-AF44-438F22C523DB}"/>
            </c:ext>
          </c:extLst>
        </c:ser>
        <c:dLbls>
          <c:dLblPos val="outEnd"/>
          <c:showLegendKey val="0"/>
          <c:showVal val="1"/>
          <c:showCatName val="0"/>
          <c:showSerName val="0"/>
          <c:showPercent val="0"/>
          <c:showBubbleSize val="0"/>
        </c:dLbls>
        <c:gapWidth val="219"/>
        <c:overlap val="-27"/>
        <c:axId val="796128464"/>
        <c:axId val="796129712"/>
      </c:barChart>
      <c:catAx>
        <c:axId val="79612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Category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129712"/>
        <c:crosses val="autoZero"/>
        <c:auto val="1"/>
        <c:lblAlgn val="ctr"/>
        <c:lblOffset val="100"/>
        <c:noMultiLvlLbl val="0"/>
      </c:catAx>
      <c:valAx>
        <c:axId val="79612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Revenue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12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[zepto_sales_dataset_Dashboard.xlsx]Sheet6!PivotTable3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50ED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950EDB"/>
          </a:solidFill>
          <a:ln>
            <a:noFill/>
          </a:ln>
          <a:effectLst/>
        </c:spPr>
      </c:pivotFmt>
      <c:pivotFmt>
        <c:idx val="2"/>
        <c:spPr>
          <a:solidFill>
            <a:srgbClr val="950EDB"/>
          </a:solidFill>
          <a:ln>
            <a:noFill/>
          </a:ln>
          <a:effectLst/>
        </c:spPr>
      </c:pivotFmt>
      <c:pivotFmt>
        <c:idx val="3"/>
        <c:spPr>
          <a:solidFill>
            <a:srgbClr val="950EDB"/>
          </a:solidFill>
          <a:ln>
            <a:noFill/>
          </a:ln>
          <a:effectLst/>
        </c:spPr>
      </c:pivotFmt>
      <c:pivotFmt>
        <c:idx val="4"/>
        <c:spPr>
          <a:solidFill>
            <a:srgbClr val="950EDB"/>
          </a:solidFill>
          <a:ln>
            <a:solidFill>
              <a:srgbClr val="950EDB"/>
            </a:solidFill>
          </a:ln>
          <a:effectLst/>
        </c:spPr>
      </c:pivotFmt>
    </c:pivotFmts>
    <c:plotArea>
      <c:layout/>
      <c:barChart>
        <c:barDir val="bar"/>
        <c:grouping val="clustered"/>
        <c:varyColors val="0"/>
        <c:ser>
          <c:idx val="0"/>
          <c:order val="0"/>
          <c:tx>
            <c:strRef>
              <c:f>Sheet6!$B$3</c:f>
              <c:strCache>
                <c:ptCount val="1"/>
                <c:pt idx="0">
                  <c:v>Total</c:v>
                </c:pt>
              </c:strCache>
            </c:strRef>
          </c:tx>
          <c:spPr>
            <a:solidFill>
              <a:srgbClr val="950EDB"/>
            </a:solidFill>
            <a:ln>
              <a:noFill/>
            </a:ln>
            <a:effectLst/>
          </c:spPr>
          <c:invertIfNegative val="0"/>
          <c:dPt>
            <c:idx val="1"/>
            <c:invertIfNegative val="0"/>
            <c:bubble3D val="0"/>
            <c:spPr>
              <a:solidFill>
                <a:srgbClr val="950EDB"/>
              </a:solidFill>
              <a:ln>
                <a:solidFill>
                  <a:srgbClr val="950EDB"/>
                </a:solidFill>
              </a:ln>
              <a:effectLst/>
            </c:spPr>
          </c:dPt>
          <c:dPt>
            <c:idx val="4"/>
            <c:invertIfNegative val="0"/>
            <c:bubble3D val="0"/>
            <c:extLst>
              <c:ext xmlns:c16="http://schemas.microsoft.com/office/drawing/2014/chart" uri="{C3380CC4-5D6E-409C-BE32-E72D297353CC}">
                <c16:uniqueId val="{00000001-4543-4DA2-B4D3-BF9167C4933E}"/>
              </c:ext>
            </c:extLst>
          </c:dPt>
          <c:dPt>
            <c:idx val="5"/>
            <c:invertIfNegative val="0"/>
            <c:bubble3D val="0"/>
            <c:extLst>
              <c:ext xmlns:c16="http://schemas.microsoft.com/office/drawing/2014/chart" uri="{C3380CC4-5D6E-409C-BE32-E72D297353CC}">
                <c16:uniqueId val="{00000003-B2E3-434F-A567-925F0BBDCB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Hyderabad</c:v>
                </c:pt>
                <c:pt idx="1">
                  <c:v>Bangalore</c:v>
                </c:pt>
                <c:pt idx="2">
                  <c:v>Pune</c:v>
                </c:pt>
                <c:pt idx="3">
                  <c:v>Delhi</c:v>
                </c:pt>
                <c:pt idx="4">
                  <c:v>Chennai</c:v>
                </c:pt>
                <c:pt idx="5">
                  <c:v>Mumbai</c:v>
                </c:pt>
              </c:strCache>
            </c:strRef>
          </c:cat>
          <c:val>
            <c:numRef>
              <c:f>Sheet6!$B$4:$B$10</c:f>
              <c:numCache>
                <c:formatCode>"₹"\ #,##0</c:formatCode>
                <c:ptCount val="6"/>
                <c:pt idx="0">
                  <c:v>1250930</c:v>
                </c:pt>
                <c:pt idx="1">
                  <c:v>1019724</c:v>
                </c:pt>
                <c:pt idx="2">
                  <c:v>993838</c:v>
                </c:pt>
                <c:pt idx="3">
                  <c:v>884943</c:v>
                </c:pt>
                <c:pt idx="4">
                  <c:v>834726</c:v>
                </c:pt>
                <c:pt idx="5">
                  <c:v>799190</c:v>
                </c:pt>
              </c:numCache>
            </c:numRef>
          </c:val>
          <c:extLst>
            <c:ext xmlns:c16="http://schemas.microsoft.com/office/drawing/2014/chart" uri="{C3380CC4-5D6E-409C-BE32-E72D297353CC}">
              <c16:uniqueId val="{00000000-B2E3-434F-A567-925F0BBDCB0F}"/>
            </c:ext>
          </c:extLst>
        </c:ser>
        <c:dLbls>
          <c:dLblPos val="outEnd"/>
          <c:showLegendKey val="0"/>
          <c:showVal val="1"/>
          <c:showCatName val="0"/>
          <c:showSerName val="0"/>
          <c:showPercent val="0"/>
          <c:showBubbleSize val="0"/>
        </c:dLbls>
        <c:gapWidth val="182"/>
        <c:axId val="892743360"/>
        <c:axId val="892743776"/>
      </c:barChart>
      <c:catAx>
        <c:axId val="892743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743776"/>
        <c:crosses val="autoZero"/>
        <c:auto val="1"/>
        <c:lblAlgn val="ctr"/>
        <c:lblOffset val="100"/>
        <c:noMultiLvlLbl val="0"/>
      </c:catAx>
      <c:valAx>
        <c:axId val="892743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Revenue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74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[zepto_sales_dataset_Dashboard.xlsx]Sheet7!PivotTable4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Vs Orders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50EDB"/>
            </a:solidFill>
            <a:round/>
          </a:ln>
          <a:effectLst/>
        </c:spPr>
        <c:marker>
          <c:spPr>
            <a:solidFill>
              <a:srgbClr val="950EDB"/>
            </a:solidFill>
            <a:ln w="9525">
              <a:solidFill>
                <a:srgbClr val="950EDB"/>
              </a:solidFill>
            </a:ln>
            <a:effectLst/>
          </c:spPr>
        </c:marker>
      </c:pivotFmt>
      <c:pivotFmt>
        <c:idx val="2"/>
        <c:spPr>
          <a:solidFill>
            <a:schemeClr val="accent1"/>
          </a:solidFill>
          <a:ln w="28575" cap="rnd">
            <a:solidFill>
              <a:srgbClr val="950EDB"/>
            </a:solidFill>
            <a:round/>
          </a:ln>
          <a:effectLst/>
        </c:spPr>
        <c:marker>
          <c:spPr>
            <a:solidFill>
              <a:srgbClr val="950EDB"/>
            </a:solidFill>
            <a:ln w="9525">
              <a:solidFill>
                <a:srgbClr val="950EDB"/>
              </a:solidFill>
            </a:ln>
            <a:effectLst/>
          </c:spPr>
        </c:marker>
      </c:pivotFmt>
      <c:pivotFmt>
        <c:idx val="3"/>
      </c:pivotFmt>
      <c:pivotFmt>
        <c:idx val="4"/>
        <c:spPr>
          <a:ln w="28575" cap="rnd">
            <a:solidFill>
              <a:srgbClr val="950EDB"/>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rgbClr val="950EDB"/>
            </a:solidFill>
            <a:round/>
          </a:ln>
          <a:effectLst/>
        </c:spPr>
        <c:marker>
          <c:symbol val="none"/>
        </c:marker>
      </c:pivotFmt>
    </c:pivotFmts>
    <c:plotArea>
      <c:layout/>
      <c:lineChart>
        <c:grouping val="standard"/>
        <c:varyColors val="0"/>
        <c:ser>
          <c:idx val="0"/>
          <c:order val="0"/>
          <c:tx>
            <c:strRef>
              <c:f>Sheet7!$B$3</c:f>
              <c:strCache>
                <c:ptCount val="1"/>
                <c:pt idx="0">
                  <c:v>Total</c:v>
                </c:pt>
              </c:strCache>
            </c:strRef>
          </c:tx>
          <c:spPr>
            <a:ln w="28575" cap="rnd">
              <a:solidFill>
                <a:srgbClr val="950ED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0</c:v>
                </c:pt>
                <c:pt idx="1">
                  <c:v>5</c:v>
                </c:pt>
                <c:pt idx="2">
                  <c:v>10</c:v>
                </c:pt>
              </c:strCache>
            </c:strRef>
          </c:cat>
          <c:val>
            <c:numRef>
              <c:f>Sheet7!$B$4:$B$7</c:f>
              <c:numCache>
                <c:formatCode>0.0</c:formatCode>
                <c:ptCount val="3"/>
                <c:pt idx="0">
                  <c:v>171.92523364485982</c:v>
                </c:pt>
                <c:pt idx="1">
                  <c:v>166.41758241758242</c:v>
                </c:pt>
                <c:pt idx="2">
                  <c:v>165.74509803921569</c:v>
                </c:pt>
              </c:numCache>
            </c:numRef>
          </c:val>
          <c:smooth val="0"/>
          <c:extLst>
            <c:ext xmlns:c16="http://schemas.microsoft.com/office/drawing/2014/chart" uri="{C3380CC4-5D6E-409C-BE32-E72D297353CC}">
              <c16:uniqueId val="{00000000-F195-4F50-B420-9A0B5F7A44E6}"/>
            </c:ext>
          </c:extLst>
        </c:ser>
        <c:dLbls>
          <c:dLblPos val="t"/>
          <c:showLegendKey val="0"/>
          <c:showVal val="1"/>
          <c:showCatName val="0"/>
          <c:showSerName val="0"/>
          <c:showPercent val="0"/>
          <c:showBubbleSize val="0"/>
        </c:dLbls>
        <c:smooth val="0"/>
        <c:axId val="889889344"/>
        <c:axId val="889886432"/>
      </c:lineChart>
      <c:catAx>
        <c:axId val="889889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 %</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86432"/>
        <c:crosses val="autoZero"/>
        <c:auto val="1"/>
        <c:lblAlgn val="ctr"/>
        <c:lblOffset val="100"/>
        <c:noMultiLvlLbl val="0"/>
      </c:catAx>
      <c:valAx>
        <c:axId val="889886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Orders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89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[zepto_sales_dataset_Dashboard.xlsx]Sheet8!PivotTable5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Influencer Impact on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rgbClr val="950EDB"/>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Sheet8!$B$3</c:f>
              <c:strCache>
                <c:ptCount val="1"/>
                <c:pt idx="0">
                  <c:v>Sum of Revenue</c:v>
                </c:pt>
              </c:strCache>
            </c:strRef>
          </c:tx>
          <c:spPr>
            <a:solidFill>
              <a:srgbClr val="950EDB"/>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No</c:v>
                </c:pt>
                <c:pt idx="1">
                  <c:v>Yes</c:v>
                </c:pt>
              </c:strCache>
            </c:strRef>
          </c:cat>
          <c:val>
            <c:numRef>
              <c:f>Sheet8!$B$4:$B$6</c:f>
              <c:numCache>
                <c:formatCode>"₹"\ #,##0</c:formatCode>
                <c:ptCount val="2"/>
                <c:pt idx="0">
                  <c:v>4118879</c:v>
                </c:pt>
                <c:pt idx="1">
                  <c:v>1664472</c:v>
                </c:pt>
              </c:numCache>
            </c:numRef>
          </c:val>
          <c:extLst>
            <c:ext xmlns:c16="http://schemas.microsoft.com/office/drawing/2014/chart" uri="{C3380CC4-5D6E-409C-BE32-E72D297353CC}">
              <c16:uniqueId val="{00000000-131F-4131-872E-268740A59D7A}"/>
            </c:ext>
          </c:extLst>
        </c:ser>
        <c:ser>
          <c:idx val="1"/>
          <c:order val="1"/>
          <c:tx>
            <c:strRef>
              <c:f>Sheet8!$C$3</c:f>
              <c:strCache>
                <c:ptCount val="1"/>
                <c:pt idx="0">
                  <c:v>Sum of Orders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No</c:v>
                </c:pt>
                <c:pt idx="1">
                  <c:v>Yes</c:v>
                </c:pt>
              </c:strCache>
            </c:strRef>
          </c:cat>
          <c:val>
            <c:numRef>
              <c:f>Sheet8!$C$4:$C$6</c:f>
              <c:numCache>
                <c:formatCode>"₹"\ #,##0</c:formatCode>
                <c:ptCount val="2"/>
                <c:pt idx="0">
                  <c:v>36212</c:v>
                </c:pt>
                <c:pt idx="1">
                  <c:v>14234</c:v>
                </c:pt>
              </c:numCache>
            </c:numRef>
          </c:val>
          <c:extLst>
            <c:ext xmlns:c16="http://schemas.microsoft.com/office/drawing/2014/chart" uri="{C3380CC4-5D6E-409C-BE32-E72D297353CC}">
              <c16:uniqueId val="{00000001-131F-4131-872E-268740A59D7A}"/>
            </c:ext>
          </c:extLst>
        </c:ser>
        <c:dLbls>
          <c:dLblPos val="outEnd"/>
          <c:showLegendKey val="0"/>
          <c:showVal val="1"/>
          <c:showCatName val="0"/>
          <c:showSerName val="0"/>
          <c:showPercent val="0"/>
          <c:showBubbleSize val="0"/>
        </c:dLbls>
        <c:gapWidth val="150"/>
        <c:axId val="889891008"/>
        <c:axId val="889884352"/>
      </c:barChart>
      <c:catAx>
        <c:axId val="889891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Influencer Active </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84352"/>
        <c:crosses val="autoZero"/>
        <c:auto val="1"/>
        <c:lblAlgn val="ctr"/>
        <c:lblOffset val="100"/>
        <c:noMultiLvlLbl val="0"/>
      </c:catAx>
      <c:valAx>
        <c:axId val="889884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91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[zepto_sales_dataset_Dashboard.xlsx]Sheet5!PivotTable2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50EDB"/>
          </a:solidFill>
          <a:ln>
            <a:noFill/>
          </a:ln>
          <a:effectLst/>
        </c:spPr>
      </c:pivotFmt>
      <c:pivotFmt>
        <c:idx val="2"/>
        <c:spPr>
          <a:solidFill>
            <a:srgbClr val="950EDB"/>
          </a:solidFill>
          <a:ln>
            <a:noFill/>
          </a:ln>
          <a:effectLst/>
        </c:spPr>
      </c:pivotFmt>
      <c:pivotFmt>
        <c:idx val="3"/>
        <c:spPr>
          <a:solidFill>
            <a:srgbClr val="950EDB"/>
          </a:solidFill>
          <a:ln>
            <a:noFill/>
          </a:ln>
          <a:effectLst/>
        </c:spPr>
      </c:pivotFmt>
      <c:pivotFmt>
        <c:idx val="4"/>
        <c:spPr>
          <a:solidFill>
            <a:srgbClr val="950EDB"/>
          </a:solidFill>
          <a:ln>
            <a:noFill/>
          </a:ln>
          <a:effectLst/>
        </c:spPr>
      </c:pivotFmt>
      <c:pivotFmt>
        <c:idx val="5"/>
        <c:spPr>
          <a:solidFill>
            <a:srgbClr val="950EDB"/>
          </a:solidFill>
          <a:ln>
            <a:noFill/>
          </a:ln>
          <a:effectLst/>
        </c:spPr>
      </c:pivotFmt>
      <c:pivotFmt>
        <c:idx val="6"/>
        <c:spPr>
          <a:solidFill>
            <a:srgbClr val="950EDB"/>
          </a:solidFill>
          <a:ln>
            <a:noFill/>
          </a:ln>
          <a:effectLst/>
        </c:spPr>
      </c:pivotFmt>
      <c:pivotFmt>
        <c:idx val="7"/>
        <c:spPr>
          <a:solidFill>
            <a:srgbClr val="950E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50EDB"/>
          </a:solidFill>
          <a:ln>
            <a:solidFill>
              <a:srgbClr val="950EDB"/>
            </a:solidFill>
          </a:ln>
          <a:effectLst/>
        </c:spPr>
      </c:pivotFmt>
      <c:pivotFmt>
        <c:idx val="9"/>
        <c:spPr>
          <a:solidFill>
            <a:srgbClr val="950EDB"/>
          </a:solidFill>
          <a:ln>
            <a:noFill/>
          </a:ln>
          <a:effectLst/>
        </c:spPr>
      </c:pivotFmt>
      <c:pivotFmt>
        <c:idx val="10"/>
        <c:spPr>
          <a:solidFill>
            <a:srgbClr val="950E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50EDB"/>
          </a:solidFill>
          <a:ln>
            <a:solidFill>
              <a:srgbClr val="950EDB"/>
            </a:solidFill>
          </a:ln>
          <a:effectLst/>
        </c:spPr>
      </c:pivotFmt>
      <c:pivotFmt>
        <c:idx val="12"/>
        <c:spPr>
          <a:solidFill>
            <a:srgbClr val="950ED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rgbClr val="950EDB"/>
          </a:solidFill>
          <a:ln>
            <a:solidFill>
              <a:srgbClr val="950EDB"/>
            </a:solidFill>
          </a:ln>
          <a:effectLst/>
        </c:spPr>
      </c:pivotFmt>
    </c:pivotFmts>
    <c:plotArea>
      <c:layout/>
      <c:barChart>
        <c:barDir val="col"/>
        <c:grouping val="clustered"/>
        <c:varyColors val="0"/>
        <c:ser>
          <c:idx val="0"/>
          <c:order val="0"/>
          <c:tx>
            <c:strRef>
              <c:f>Sheet5!$B$3</c:f>
              <c:strCache>
                <c:ptCount val="1"/>
                <c:pt idx="0">
                  <c:v>Total</c:v>
                </c:pt>
              </c:strCache>
            </c:strRef>
          </c:tx>
          <c:spPr>
            <a:solidFill>
              <a:srgbClr val="950EDB"/>
            </a:solidFill>
            <a:ln>
              <a:noFill/>
            </a:ln>
            <a:effectLst/>
          </c:spPr>
          <c:invertIfNegative val="0"/>
          <c:dPt>
            <c:idx val="0"/>
            <c:invertIfNegative val="0"/>
            <c:bubble3D val="0"/>
            <c:extLst>
              <c:ext xmlns:c16="http://schemas.microsoft.com/office/drawing/2014/chart" uri="{C3380CC4-5D6E-409C-BE32-E72D297353CC}">
                <c16:uniqueId val="{00000001-21D9-4784-85F0-FB6594A619FD}"/>
              </c:ext>
            </c:extLst>
          </c:dPt>
          <c:dPt>
            <c:idx val="1"/>
            <c:invertIfNegative val="0"/>
            <c:bubble3D val="0"/>
            <c:spPr>
              <a:solidFill>
                <a:srgbClr val="950EDB"/>
              </a:solidFill>
              <a:ln>
                <a:solidFill>
                  <a:srgbClr val="950EDB"/>
                </a:solidFill>
              </a:ln>
              <a:effectLst/>
            </c:spPr>
            <c:extLst>
              <c:ext xmlns:c16="http://schemas.microsoft.com/office/drawing/2014/chart" uri="{C3380CC4-5D6E-409C-BE32-E72D297353CC}">
                <c16:uniqueId val="{00000002-BE65-4361-869E-BFE2D09141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Snacks</c:v>
                </c:pt>
                <c:pt idx="1">
                  <c:v>Beverages</c:v>
                </c:pt>
                <c:pt idx="2">
                  <c:v>Grocery</c:v>
                </c:pt>
                <c:pt idx="3">
                  <c:v>Instant Food</c:v>
                </c:pt>
                <c:pt idx="4">
                  <c:v>Confectionery</c:v>
                </c:pt>
                <c:pt idx="5">
                  <c:v>Dairy</c:v>
                </c:pt>
              </c:strCache>
            </c:strRef>
          </c:cat>
          <c:val>
            <c:numRef>
              <c:f>Sheet5!$B$4:$B$10</c:f>
              <c:numCache>
                <c:formatCode>"₹"\ #,##0</c:formatCode>
                <c:ptCount val="6"/>
                <c:pt idx="0">
                  <c:v>1712447</c:v>
                </c:pt>
                <c:pt idx="1">
                  <c:v>1227002</c:v>
                </c:pt>
                <c:pt idx="2">
                  <c:v>955353</c:v>
                </c:pt>
                <c:pt idx="3">
                  <c:v>661477</c:v>
                </c:pt>
                <c:pt idx="4">
                  <c:v>647424</c:v>
                </c:pt>
                <c:pt idx="5">
                  <c:v>579648</c:v>
                </c:pt>
              </c:numCache>
            </c:numRef>
          </c:val>
          <c:extLst>
            <c:ext xmlns:c16="http://schemas.microsoft.com/office/drawing/2014/chart" uri="{C3380CC4-5D6E-409C-BE32-E72D297353CC}">
              <c16:uniqueId val="{00000002-21D9-4784-85F0-FB6594A619FD}"/>
            </c:ext>
          </c:extLst>
        </c:ser>
        <c:dLbls>
          <c:dLblPos val="outEnd"/>
          <c:showLegendKey val="0"/>
          <c:showVal val="1"/>
          <c:showCatName val="0"/>
          <c:showSerName val="0"/>
          <c:showPercent val="0"/>
          <c:showBubbleSize val="0"/>
        </c:dLbls>
        <c:gapWidth val="219"/>
        <c:overlap val="-27"/>
        <c:axId val="796128464"/>
        <c:axId val="796129712"/>
      </c:barChart>
      <c:catAx>
        <c:axId val="79612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Category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129712"/>
        <c:crosses val="autoZero"/>
        <c:auto val="1"/>
        <c:lblAlgn val="ctr"/>
        <c:lblOffset val="100"/>
        <c:noMultiLvlLbl val="0"/>
      </c:catAx>
      <c:valAx>
        <c:axId val="79612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Revenue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128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[zepto_sales_dataset_Dashboard.xlsx]Sheet6!PivotTable3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u="none"/>
              <a:t>Revenue by 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50E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50EDB"/>
          </a:solidFill>
          <a:ln>
            <a:noFill/>
          </a:ln>
          <a:effectLst/>
        </c:spPr>
      </c:pivotFmt>
      <c:pivotFmt>
        <c:idx val="2"/>
        <c:spPr>
          <a:solidFill>
            <a:srgbClr val="950EDB"/>
          </a:solidFill>
          <a:ln>
            <a:solidFill>
              <a:srgbClr val="950EDB"/>
            </a:solidFill>
          </a:ln>
          <a:effectLst/>
        </c:spPr>
      </c:pivotFmt>
      <c:pivotFmt>
        <c:idx val="3"/>
        <c:spPr>
          <a:solidFill>
            <a:srgbClr val="950EDB"/>
          </a:solidFill>
          <a:ln>
            <a:noFill/>
          </a:ln>
          <a:effectLst/>
        </c:spPr>
      </c:pivotFmt>
      <c:pivotFmt>
        <c:idx val="4"/>
        <c:spPr>
          <a:solidFill>
            <a:srgbClr val="950E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50EDB"/>
          </a:solidFill>
          <a:ln>
            <a:solidFill>
              <a:srgbClr val="950EDB"/>
            </a:solidFill>
          </a:ln>
          <a:effectLst/>
        </c:spPr>
      </c:pivotFmt>
      <c:pivotFmt>
        <c:idx val="6"/>
        <c:spPr>
          <a:solidFill>
            <a:srgbClr val="950ED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950EDB"/>
          </a:solidFill>
          <a:ln>
            <a:solidFill>
              <a:srgbClr val="950EDB"/>
            </a:solidFill>
          </a:ln>
          <a:effectLst/>
        </c:spPr>
      </c:pivotFmt>
    </c:pivotFmts>
    <c:plotArea>
      <c:layout/>
      <c:barChart>
        <c:barDir val="bar"/>
        <c:grouping val="clustered"/>
        <c:varyColors val="0"/>
        <c:ser>
          <c:idx val="0"/>
          <c:order val="0"/>
          <c:tx>
            <c:strRef>
              <c:f>Sheet6!$B$3</c:f>
              <c:strCache>
                <c:ptCount val="1"/>
                <c:pt idx="0">
                  <c:v>Total</c:v>
                </c:pt>
              </c:strCache>
            </c:strRef>
          </c:tx>
          <c:spPr>
            <a:solidFill>
              <a:srgbClr val="950EDB"/>
            </a:solidFill>
            <a:ln>
              <a:noFill/>
            </a:ln>
            <a:effectLst/>
          </c:spPr>
          <c:invertIfNegative val="0"/>
          <c:dPt>
            <c:idx val="4"/>
            <c:invertIfNegative val="0"/>
            <c:bubble3D val="0"/>
            <c:spPr>
              <a:solidFill>
                <a:srgbClr val="950EDB"/>
              </a:solidFill>
              <a:ln>
                <a:solidFill>
                  <a:srgbClr val="950EDB"/>
                </a:solidFill>
              </a:ln>
              <a:effectLst/>
            </c:spPr>
            <c:extLst>
              <c:ext xmlns:c16="http://schemas.microsoft.com/office/drawing/2014/chart" uri="{C3380CC4-5D6E-409C-BE32-E72D297353CC}">
                <c16:uniqueId val="{00000001-1CD2-4107-AC2D-5CA3E1DFD6AA}"/>
              </c:ext>
            </c:extLst>
          </c:dPt>
          <c:dPt>
            <c:idx val="5"/>
            <c:invertIfNegative val="0"/>
            <c:bubble3D val="0"/>
            <c:extLst>
              <c:ext xmlns:c16="http://schemas.microsoft.com/office/drawing/2014/chart" uri="{C3380CC4-5D6E-409C-BE32-E72D297353CC}">
                <c16:uniqueId val="{00000001-4F7B-4193-92C5-E5438FFD3E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Hyderabad</c:v>
                </c:pt>
                <c:pt idx="1">
                  <c:v>Bangalore</c:v>
                </c:pt>
                <c:pt idx="2">
                  <c:v>Pune</c:v>
                </c:pt>
                <c:pt idx="3">
                  <c:v>Delhi</c:v>
                </c:pt>
                <c:pt idx="4">
                  <c:v>Chennai</c:v>
                </c:pt>
                <c:pt idx="5">
                  <c:v>Mumbai</c:v>
                </c:pt>
              </c:strCache>
            </c:strRef>
          </c:cat>
          <c:val>
            <c:numRef>
              <c:f>Sheet6!$B$4:$B$10</c:f>
              <c:numCache>
                <c:formatCode>"₹"\ #,##0</c:formatCode>
                <c:ptCount val="6"/>
                <c:pt idx="0">
                  <c:v>1250930</c:v>
                </c:pt>
                <c:pt idx="1">
                  <c:v>1019724</c:v>
                </c:pt>
                <c:pt idx="2">
                  <c:v>993838</c:v>
                </c:pt>
                <c:pt idx="3">
                  <c:v>884943</c:v>
                </c:pt>
                <c:pt idx="4">
                  <c:v>834726</c:v>
                </c:pt>
                <c:pt idx="5">
                  <c:v>799190</c:v>
                </c:pt>
              </c:numCache>
            </c:numRef>
          </c:val>
          <c:extLst>
            <c:ext xmlns:c16="http://schemas.microsoft.com/office/drawing/2014/chart" uri="{C3380CC4-5D6E-409C-BE32-E72D297353CC}">
              <c16:uniqueId val="{00000002-4F7B-4193-92C5-E5438FFD3EEB}"/>
            </c:ext>
          </c:extLst>
        </c:ser>
        <c:dLbls>
          <c:dLblPos val="outEnd"/>
          <c:showLegendKey val="0"/>
          <c:showVal val="1"/>
          <c:showCatName val="0"/>
          <c:showSerName val="0"/>
          <c:showPercent val="0"/>
          <c:showBubbleSize val="0"/>
        </c:dLbls>
        <c:gapWidth val="182"/>
        <c:axId val="892743360"/>
        <c:axId val="892743776"/>
      </c:barChart>
      <c:catAx>
        <c:axId val="892743360"/>
        <c:scaling>
          <c:orientation val="minMax"/>
        </c:scaling>
        <c:delete val="0"/>
        <c:axPos val="l"/>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743776"/>
        <c:crosses val="autoZero"/>
        <c:auto val="1"/>
        <c:lblAlgn val="ctr"/>
        <c:lblOffset val="100"/>
        <c:noMultiLvlLbl val="0"/>
      </c:catAx>
      <c:valAx>
        <c:axId val="892743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Revenue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743360"/>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[zepto_sales_dataset_Dashboard.xlsx]Sheet7!PivotTable4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Vs Orders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50EDB"/>
            </a:solidFill>
            <a:round/>
          </a:ln>
          <a:effectLst/>
        </c:spPr>
        <c:marker>
          <c:spPr>
            <a:solidFill>
              <a:srgbClr val="950EDB"/>
            </a:solidFill>
            <a:ln w="9525">
              <a:solidFill>
                <a:srgbClr val="950EDB"/>
              </a:solidFill>
            </a:ln>
            <a:effectLst/>
          </c:spPr>
        </c:marker>
      </c:pivotFmt>
      <c:pivotFmt>
        <c:idx val="2"/>
        <c:spPr>
          <a:solidFill>
            <a:schemeClr val="accent1"/>
          </a:solidFill>
          <a:ln w="28575" cap="rnd">
            <a:solidFill>
              <a:srgbClr val="950EDB"/>
            </a:solidFill>
            <a:round/>
          </a:ln>
          <a:effectLst/>
        </c:spPr>
        <c:marker>
          <c:spPr>
            <a:solidFill>
              <a:srgbClr val="950EDB"/>
            </a:solidFill>
            <a:ln w="9525">
              <a:solidFill>
                <a:srgbClr val="950EDB"/>
              </a:solidFill>
            </a:ln>
            <a:effectLst/>
          </c:spPr>
        </c:marker>
      </c:pivotFmt>
      <c:pivotFmt>
        <c:idx val="3"/>
      </c:pivotFmt>
      <c:pivotFmt>
        <c:idx val="4"/>
        <c:spPr>
          <a:solidFill>
            <a:schemeClr val="accent1"/>
          </a:solidFill>
          <a:ln w="28575" cap="rnd">
            <a:solidFill>
              <a:srgbClr val="950ED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50EDB"/>
            </a:solidFill>
            <a:round/>
          </a:ln>
          <a:effectLst/>
        </c:spPr>
        <c:marker>
          <c:symbol val="none"/>
        </c:marker>
      </c:pivotFmt>
      <c:pivotFmt>
        <c:idx val="6"/>
        <c:spPr>
          <a:solidFill>
            <a:schemeClr val="accent1"/>
          </a:solidFill>
          <a:ln w="28575" cap="rnd">
            <a:solidFill>
              <a:srgbClr val="950ED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950EDB"/>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Sheet7!$B$3</c:f>
              <c:strCache>
                <c:ptCount val="1"/>
                <c:pt idx="0">
                  <c:v>Total</c:v>
                </c:pt>
              </c:strCache>
            </c:strRef>
          </c:tx>
          <c:spPr>
            <a:ln w="28575" cap="rnd">
              <a:solidFill>
                <a:srgbClr val="950ED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0</c:v>
                </c:pt>
                <c:pt idx="1">
                  <c:v>5</c:v>
                </c:pt>
                <c:pt idx="2">
                  <c:v>10</c:v>
                </c:pt>
              </c:strCache>
            </c:strRef>
          </c:cat>
          <c:val>
            <c:numRef>
              <c:f>Sheet7!$B$4:$B$7</c:f>
              <c:numCache>
                <c:formatCode>0.0</c:formatCode>
                <c:ptCount val="3"/>
                <c:pt idx="0">
                  <c:v>171.92523364485982</c:v>
                </c:pt>
                <c:pt idx="1">
                  <c:v>166.41758241758242</c:v>
                </c:pt>
                <c:pt idx="2">
                  <c:v>165.74509803921569</c:v>
                </c:pt>
              </c:numCache>
            </c:numRef>
          </c:val>
          <c:smooth val="0"/>
          <c:extLst>
            <c:ext xmlns:c16="http://schemas.microsoft.com/office/drawing/2014/chart" uri="{C3380CC4-5D6E-409C-BE32-E72D297353CC}">
              <c16:uniqueId val="{00000000-CBED-44EB-AD0B-6F5630D931C1}"/>
            </c:ext>
          </c:extLst>
        </c:ser>
        <c:dLbls>
          <c:dLblPos val="t"/>
          <c:showLegendKey val="0"/>
          <c:showVal val="1"/>
          <c:showCatName val="0"/>
          <c:showSerName val="0"/>
          <c:showPercent val="0"/>
          <c:showBubbleSize val="0"/>
        </c:dLbls>
        <c:smooth val="0"/>
        <c:axId val="889889344"/>
        <c:axId val="889886432"/>
      </c:lineChart>
      <c:catAx>
        <c:axId val="889889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 %</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86432"/>
        <c:crosses val="autoZero"/>
        <c:auto val="1"/>
        <c:lblAlgn val="ctr"/>
        <c:lblOffset val="100"/>
        <c:noMultiLvlLbl val="0"/>
      </c:catAx>
      <c:valAx>
        <c:axId val="889886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Orders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89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[zepto_sales_dataset_Dashboard.xlsx]Sheet8!PivotTable5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Influencer Impact on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rgbClr val="950ED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50ED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50EDB"/>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Sheet8!$B$3</c:f>
              <c:strCache>
                <c:ptCount val="1"/>
                <c:pt idx="0">
                  <c:v>Sum of Revenue</c:v>
                </c:pt>
              </c:strCache>
            </c:strRef>
          </c:tx>
          <c:spPr>
            <a:solidFill>
              <a:srgbClr val="950EDB"/>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No</c:v>
                </c:pt>
                <c:pt idx="1">
                  <c:v>Yes</c:v>
                </c:pt>
              </c:strCache>
            </c:strRef>
          </c:cat>
          <c:val>
            <c:numRef>
              <c:f>Sheet8!$B$4:$B$6</c:f>
              <c:numCache>
                <c:formatCode>"₹"\ #,##0</c:formatCode>
                <c:ptCount val="2"/>
                <c:pt idx="0">
                  <c:v>4118879</c:v>
                </c:pt>
                <c:pt idx="1">
                  <c:v>1664472</c:v>
                </c:pt>
              </c:numCache>
            </c:numRef>
          </c:val>
          <c:extLst>
            <c:ext xmlns:c16="http://schemas.microsoft.com/office/drawing/2014/chart" uri="{C3380CC4-5D6E-409C-BE32-E72D297353CC}">
              <c16:uniqueId val="{00000000-0E76-4D27-BB57-20B1B33E0924}"/>
            </c:ext>
          </c:extLst>
        </c:ser>
        <c:ser>
          <c:idx val="1"/>
          <c:order val="1"/>
          <c:tx>
            <c:strRef>
              <c:f>Sheet8!$C$3</c:f>
              <c:strCache>
                <c:ptCount val="1"/>
                <c:pt idx="0">
                  <c:v>Sum of Orders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No</c:v>
                </c:pt>
                <c:pt idx="1">
                  <c:v>Yes</c:v>
                </c:pt>
              </c:strCache>
            </c:strRef>
          </c:cat>
          <c:val>
            <c:numRef>
              <c:f>Sheet8!$C$4:$C$6</c:f>
              <c:numCache>
                <c:formatCode>"₹"\ #,##0</c:formatCode>
                <c:ptCount val="2"/>
                <c:pt idx="0">
                  <c:v>36212</c:v>
                </c:pt>
                <c:pt idx="1">
                  <c:v>14234</c:v>
                </c:pt>
              </c:numCache>
            </c:numRef>
          </c:val>
          <c:extLst>
            <c:ext xmlns:c16="http://schemas.microsoft.com/office/drawing/2014/chart" uri="{C3380CC4-5D6E-409C-BE32-E72D297353CC}">
              <c16:uniqueId val="{00000001-0E76-4D27-BB57-20B1B33E0924}"/>
            </c:ext>
          </c:extLst>
        </c:ser>
        <c:dLbls>
          <c:dLblPos val="outEnd"/>
          <c:showLegendKey val="0"/>
          <c:showVal val="1"/>
          <c:showCatName val="0"/>
          <c:showSerName val="0"/>
          <c:showPercent val="0"/>
          <c:showBubbleSize val="0"/>
        </c:dLbls>
        <c:gapWidth val="150"/>
        <c:axId val="889891008"/>
        <c:axId val="889884352"/>
      </c:barChart>
      <c:catAx>
        <c:axId val="889891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Influencer Active </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84352"/>
        <c:crosses val="autoZero"/>
        <c:auto val="1"/>
        <c:lblAlgn val="ctr"/>
        <c:lblOffset val="100"/>
        <c:noMultiLvlLbl val="0"/>
      </c:catAx>
      <c:valAx>
        <c:axId val="889884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91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jpe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220980</xdr:colOff>
      <xdr:row>0</xdr:row>
      <xdr:rowOff>53340</xdr:rowOff>
    </xdr:from>
    <xdr:to>
      <xdr:col>10</xdr:col>
      <xdr:colOff>426720</xdr:colOff>
      <xdr:row>16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38100</xdr:colOff>
      <xdr:row>2</xdr:row>
      <xdr:rowOff>53340</xdr:rowOff>
    </xdr:from>
    <xdr:to>
      <xdr:col>20</xdr:col>
      <xdr:colOff>38100</xdr:colOff>
      <xdr:row>15</xdr:row>
      <xdr:rowOff>142875</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6424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114300</xdr:colOff>
      <xdr:row>16</xdr:row>
      <xdr:rowOff>53340</xdr:rowOff>
    </xdr:from>
    <xdr:to>
      <xdr:col>20</xdr:col>
      <xdr:colOff>114300</xdr:colOff>
      <xdr:row>29</xdr:row>
      <xdr:rowOff>142875</xdr:rowOff>
    </xdr:to>
    <mc:AlternateContent xmlns:mc="http://schemas.openxmlformats.org/markup-compatibility/2006" xmlns:a14="http://schemas.microsoft.com/office/drawing/2010/main">
      <mc:Choice Requires="a14">
        <xdr:graphicFrame macro="">
          <xdr:nvGraphicFramePr>
            <xdr:cNvPr id="5"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140440" y="2979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114300</xdr:colOff>
      <xdr:row>24</xdr:row>
      <xdr:rowOff>167640</xdr:rowOff>
    </xdr:from>
    <xdr:to>
      <xdr:col>17</xdr:col>
      <xdr:colOff>114300</xdr:colOff>
      <xdr:row>38</xdr:row>
      <xdr:rowOff>74295</xdr:rowOff>
    </xdr:to>
    <mc:AlternateContent xmlns:mc="http://schemas.openxmlformats.org/markup-compatibility/2006" xmlns:a14="http://schemas.microsoft.com/office/drawing/2010/main">
      <mc:Choice Requires="a14">
        <xdr:graphicFrame macro="">
          <xdr:nvGraphicFramePr>
            <xdr:cNvPr id="6" name="Influencer Active"/>
            <xdr:cNvGraphicFramePr/>
          </xdr:nvGraphicFramePr>
          <xdr:xfrm>
            <a:off x="0" y="0"/>
            <a:ext cx="0" cy="0"/>
          </xdr:xfrm>
          <a:graphic>
            <a:graphicData uri="http://schemas.microsoft.com/office/drawing/2010/slicer">
              <sle:slicer xmlns:sle="http://schemas.microsoft.com/office/drawing/2010/slicer" name="Influencer Active"/>
            </a:graphicData>
          </a:graphic>
        </xdr:graphicFrame>
      </mc:Choice>
      <mc:Fallback xmlns="">
        <xdr:sp macro="" textlink="">
          <xdr:nvSpPr>
            <xdr:cNvPr id="0" name=""/>
            <xdr:cNvSpPr>
              <a:spLocks noTextEdit="1"/>
            </xdr:cNvSpPr>
          </xdr:nvSpPr>
          <xdr:spPr>
            <a:xfrm>
              <a:off x="9311640" y="4556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160020</xdr:rowOff>
    </xdr:from>
    <xdr:to>
      <xdr:col>15</xdr:col>
      <xdr:colOff>304800</xdr:colOff>
      <xdr:row>23</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60960</xdr:colOff>
      <xdr:row>3</xdr:row>
      <xdr:rowOff>45720</xdr:rowOff>
    </xdr:from>
    <xdr:to>
      <xdr:col>14</xdr:col>
      <xdr:colOff>160020</xdr:colOff>
      <xdr:row>24</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586740</xdr:colOff>
      <xdr:row>3</xdr:row>
      <xdr:rowOff>30480</xdr:rowOff>
    </xdr:from>
    <xdr:to>
      <xdr:col>14</xdr:col>
      <xdr:colOff>281940</xdr:colOff>
      <xdr:row>26</xdr:row>
      <xdr:rowOff>60960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284480</xdr:colOff>
      <xdr:row>1</xdr:row>
      <xdr:rowOff>177120</xdr:rowOff>
    </xdr:to>
    <xdr:sp macro="" textlink="">
      <xdr:nvSpPr>
        <xdr:cNvPr id="2" name="Rectangle 1"/>
        <xdr:cNvSpPr/>
      </xdr:nvSpPr>
      <xdr:spPr>
        <a:xfrm>
          <a:off x="0" y="0"/>
          <a:ext cx="13086080" cy="36000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000" b="1">
              <a:solidFill>
                <a:srgbClr val="950EDB"/>
              </a:solidFill>
              <a:latin typeface="+mn-lt"/>
            </a:rPr>
            <a:t>ZEPTO SALES</a:t>
          </a:r>
          <a:r>
            <a:rPr lang="en-IN" sz="3000" b="1" baseline="0">
              <a:solidFill>
                <a:srgbClr val="950EDB"/>
              </a:solidFill>
              <a:latin typeface="+mn-lt"/>
            </a:rPr>
            <a:t> </a:t>
          </a:r>
          <a:endParaRPr lang="en-IN" sz="3000" b="1">
            <a:solidFill>
              <a:srgbClr val="950EDB"/>
            </a:solidFill>
            <a:latin typeface="+mn-lt"/>
          </a:endParaRPr>
        </a:p>
      </xdr:txBody>
    </xdr:sp>
    <xdr:clientData/>
  </xdr:twoCellAnchor>
  <xdr:twoCellAnchor>
    <xdr:from>
      <xdr:col>1</xdr:col>
      <xdr:colOff>180340</xdr:colOff>
      <xdr:row>2</xdr:row>
      <xdr:rowOff>86360</xdr:rowOff>
    </xdr:from>
    <xdr:to>
      <xdr:col>4</xdr:col>
      <xdr:colOff>10160</xdr:colOff>
      <xdr:row>6</xdr:row>
      <xdr:rowOff>10160</xdr:rowOff>
    </xdr:to>
    <xdr:sp macro="" textlink="KPIs!A2">
      <xdr:nvSpPr>
        <xdr:cNvPr id="3" name="Rounded Rectangle 2"/>
        <xdr:cNvSpPr/>
      </xdr:nvSpPr>
      <xdr:spPr>
        <a:xfrm>
          <a:off x="789940" y="452120"/>
          <a:ext cx="1658620" cy="65532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89773CA-D7CD-406F-9E85-797F398986A5}" type="TxLink">
            <a:rPr lang="en-US" sz="1600" b="1" i="0" u="none" strike="noStrike">
              <a:solidFill>
                <a:srgbClr val="950EDB"/>
              </a:solidFill>
              <a:latin typeface="Calibri"/>
              <a:ea typeface="Calibri"/>
              <a:cs typeface="Calibri"/>
            </a:rPr>
            <a:pPr algn="r"/>
            <a:t>₹ 57,83,351</a:t>
          </a:fld>
          <a:endParaRPr lang="en-IN" sz="1600" b="1">
            <a:solidFill>
              <a:srgbClr val="950EDB"/>
            </a:solidFill>
          </a:endParaRPr>
        </a:p>
      </xdr:txBody>
    </xdr:sp>
    <xdr:clientData/>
  </xdr:twoCellAnchor>
  <xdr:twoCellAnchor>
    <xdr:from>
      <xdr:col>5</xdr:col>
      <xdr:colOff>294640</xdr:colOff>
      <xdr:row>2</xdr:row>
      <xdr:rowOff>99060</xdr:rowOff>
    </xdr:from>
    <xdr:to>
      <xdr:col>8</xdr:col>
      <xdr:colOff>91440</xdr:colOff>
      <xdr:row>6</xdr:row>
      <xdr:rowOff>0</xdr:rowOff>
    </xdr:to>
    <xdr:sp macro="" textlink="KPIs!B2">
      <xdr:nvSpPr>
        <xdr:cNvPr id="4" name="Rounded Rectangle 3"/>
        <xdr:cNvSpPr/>
      </xdr:nvSpPr>
      <xdr:spPr>
        <a:xfrm>
          <a:off x="3342640" y="464820"/>
          <a:ext cx="1625600" cy="63246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67BCDFAB-ED79-4E4A-9E5B-64CC36987813}" type="TxLink">
            <a:rPr lang="en-US" sz="1800" b="1" i="0" u="none" strike="noStrike">
              <a:solidFill>
                <a:srgbClr val="950EDB"/>
              </a:solidFill>
              <a:latin typeface="Calibri"/>
              <a:ea typeface="Calibri"/>
              <a:cs typeface="Calibri"/>
            </a:rPr>
            <a:pPr algn="r"/>
            <a:t> 50,446 </a:t>
          </a:fld>
          <a:endParaRPr lang="en-IN" sz="1800" b="1">
            <a:solidFill>
              <a:srgbClr val="950EDB"/>
            </a:solidFill>
          </a:endParaRPr>
        </a:p>
      </xdr:txBody>
    </xdr:sp>
    <xdr:clientData/>
  </xdr:twoCellAnchor>
  <xdr:twoCellAnchor>
    <xdr:from>
      <xdr:col>9</xdr:col>
      <xdr:colOff>467360</xdr:colOff>
      <xdr:row>2</xdr:row>
      <xdr:rowOff>91440</xdr:rowOff>
    </xdr:from>
    <xdr:to>
      <xdr:col>12</xdr:col>
      <xdr:colOff>279400</xdr:colOff>
      <xdr:row>6</xdr:row>
      <xdr:rowOff>10160</xdr:rowOff>
    </xdr:to>
    <xdr:sp macro="" textlink="KPIs!C2">
      <xdr:nvSpPr>
        <xdr:cNvPr id="5" name="Rounded Rectangle 4"/>
        <xdr:cNvSpPr/>
      </xdr:nvSpPr>
      <xdr:spPr>
        <a:xfrm>
          <a:off x="5953760" y="457200"/>
          <a:ext cx="1640840" cy="65024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C30E9EC6-5282-4CC4-9A39-F60A8C0CE9D5}" type="TxLink">
            <a:rPr lang="en-US" sz="1800" b="1" i="0" u="none" strike="noStrike">
              <a:solidFill>
                <a:srgbClr val="950EDB"/>
              </a:solidFill>
              <a:latin typeface="Calibri"/>
              <a:ea typeface="Calibri"/>
              <a:cs typeface="Calibri"/>
            </a:rPr>
            <a:pPr algn="r"/>
            <a:t>₹ 114.64</a:t>
          </a:fld>
          <a:endParaRPr lang="en-US" sz="3200" b="1">
            <a:solidFill>
              <a:srgbClr val="950EDB"/>
            </a:solidFill>
          </a:endParaRPr>
        </a:p>
      </xdr:txBody>
    </xdr:sp>
    <xdr:clientData/>
  </xdr:twoCellAnchor>
  <xdr:twoCellAnchor>
    <xdr:from>
      <xdr:col>14</xdr:col>
      <xdr:colOff>50800</xdr:colOff>
      <xdr:row>2</xdr:row>
      <xdr:rowOff>91440</xdr:rowOff>
    </xdr:from>
    <xdr:to>
      <xdr:col>16</xdr:col>
      <xdr:colOff>408940</xdr:colOff>
      <xdr:row>6</xdr:row>
      <xdr:rowOff>0</xdr:rowOff>
    </xdr:to>
    <xdr:sp macro="" textlink="KPIs!D2">
      <xdr:nvSpPr>
        <xdr:cNvPr id="6" name="Rounded Rectangle 5"/>
        <xdr:cNvSpPr/>
      </xdr:nvSpPr>
      <xdr:spPr>
        <a:xfrm>
          <a:off x="8585200" y="457200"/>
          <a:ext cx="1577340" cy="64008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122EDA9F-7AF6-404C-9C44-4C4FF90F60FF}" type="TxLink">
            <a:rPr lang="en-US" sz="1800" b="1" i="0" u="none" strike="noStrike">
              <a:solidFill>
                <a:srgbClr val="950EDB"/>
              </a:solidFill>
              <a:latin typeface="Calibri"/>
              <a:ea typeface="Calibri"/>
              <a:cs typeface="Calibri"/>
            </a:rPr>
            <a:pPr algn="r"/>
            <a:t>5%</a:t>
          </a:fld>
          <a:endParaRPr lang="en-IN" sz="1800" b="1">
            <a:solidFill>
              <a:srgbClr val="950EDB"/>
            </a:solidFill>
          </a:endParaRPr>
        </a:p>
      </xdr:txBody>
    </xdr:sp>
    <xdr:clientData/>
  </xdr:twoCellAnchor>
  <xdr:oneCellAnchor>
    <xdr:from>
      <xdr:col>2</xdr:col>
      <xdr:colOff>167640</xdr:colOff>
      <xdr:row>4</xdr:row>
      <xdr:rowOff>48260</xdr:rowOff>
    </xdr:from>
    <xdr:ext cx="998219" cy="289560"/>
    <xdr:sp macro="" textlink="">
      <xdr:nvSpPr>
        <xdr:cNvPr id="7" name="TextBox 6"/>
        <xdr:cNvSpPr txBox="1"/>
      </xdr:nvSpPr>
      <xdr:spPr>
        <a:xfrm>
          <a:off x="1386840" y="779780"/>
          <a:ext cx="998219"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Total Revenue</a:t>
          </a:r>
        </a:p>
      </xdr:txBody>
    </xdr:sp>
    <xdr:clientData/>
  </xdr:oneCellAnchor>
  <xdr:oneCellAnchor>
    <xdr:from>
      <xdr:col>6</xdr:col>
      <xdr:colOff>363220</xdr:colOff>
      <xdr:row>4</xdr:row>
      <xdr:rowOff>43180</xdr:rowOff>
    </xdr:from>
    <xdr:ext cx="898131" cy="264560"/>
    <xdr:sp macro="" textlink="">
      <xdr:nvSpPr>
        <xdr:cNvPr id="11" name="TextBox 10"/>
        <xdr:cNvSpPr txBox="1"/>
      </xdr:nvSpPr>
      <xdr:spPr>
        <a:xfrm>
          <a:off x="4020820" y="774700"/>
          <a:ext cx="8981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Total Orders</a:t>
          </a:r>
        </a:p>
      </xdr:txBody>
    </xdr:sp>
    <xdr:clientData/>
  </xdr:oneCellAnchor>
  <xdr:oneCellAnchor>
    <xdr:from>
      <xdr:col>10</xdr:col>
      <xdr:colOff>353060</xdr:colOff>
      <xdr:row>4</xdr:row>
      <xdr:rowOff>50800</xdr:rowOff>
    </xdr:from>
    <xdr:ext cx="1120628" cy="264560"/>
    <xdr:sp macro="" textlink="">
      <xdr:nvSpPr>
        <xdr:cNvPr id="12" name="TextBox 11"/>
        <xdr:cNvSpPr txBox="1"/>
      </xdr:nvSpPr>
      <xdr:spPr>
        <a:xfrm>
          <a:off x="6449060" y="782320"/>
          <a:ext cx="11206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Avg Order Value</a:t>
          </a:r>
        </a:p>
      </xdr:txBody>
    </xdr:sp>
    <xdr:clientData/>
  </xdr:oneCellAnchor>
  <xdr:oneCellAnchor>
    <xdr:from>
      <xdr:col>14</xdr:col>
      <xdr:colOff>581660</xdr:colOff>
      <xdr:row>4</xdr:row>
      <xdr:rowOff>40640</xdr:rowOff>
    </xdr:from>
    <xdr:ext cx="1064907" cy="264560"/>
    <xdr:sp macro="" textlink="">
      <xdr:nvSpPr>
        <xdr:cNvPr id="13" name="TextBox 12"/>
        <xdr:cNvSpPr txBox="1"/>
      </xdr:nvSpPr>
      <xdr:spPr>
        <a:xfrm>
          <a:off x="9116060" y="772160"/>
          <a:ext cx="10649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a:t>Avg</a:t>
          </a:r>
          <a:r>
            <a:rPr lang="en-IN" sz="1100" baseline="0"/>
            <a:t> Discount %</a:t>
          </a:r>
          <a:endParaRPr lang="en-IN" sz="1100"/>
        </a:p>
      </xdr:txBody>
    </xdr:sp>
    <xdr:clientData/>
  </xdr:oneCellAnchor>
  <xdr:twoCellAnchor>
    <xdr:from>
      <xdr:col>0</xdr:col>
      <xdr:colOff>121920</xdr:colOff>
      <xdr:row>6</xdr:row>
      <xdr:rowOff>162560</xdr:rowOff>
    </xdr:from>
    <xdr:to>
      <xdr:col>8</xdr:col>
      <xdr:colOff>558800</xdr:colOff>
      <xdr:row>24</xdr:row>
      <xdr:rowOff>20320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172720</xdr:rowOff>
    </xdr:from>
    <xdr:to>
      <xdr:col>18</xdr:col>
      <xdr:colOff>0</xdr:colOff>
      <xdr:row>24</xdr:row>
      <xdr:rowOff>20320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121920</xdr:colOff>
      <xdr:row>24</xdr:row>
      <xdr:rowOff>91440</xdr:rowOff>
    </xdr:from>
    <xdr:to>
      <xdr:col>8</xdr:col>
      <xdr:colOff>558800</xdr:colOff>
      <xdr:row>40</xdr:row>
      <xdr:rowOff>77305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10160</xdr:colOff>
      <xdr:row>24</xdr:row>
      <xdr:rowOff>101601</xdr:rowOff>
    </xdr:from>
    <xdr:to>
      <xdr:col>18</xdr:col>
      <xdr:colOff>10160</xdr:colOff>
      <xdr:row>40</xdr:row>
      <xdr:rowOff>81281</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114633</xdr:colOff>
      <xdr:row>6</xdr:row>
      <xdr:rowOff>173604</xdr:rowOff>
    </xdr:from>
    <xdr:to>
      <xdr:col>21</xdr:col>
      <xdr:colOff>121259</xdr:colOff>
      <xdr:row>18</xdr:row>
      <xdr:rowOff>0</xdr:rowOff>
    </xdr:to>
    <mc:AlternateContent xmlns:mc="http://schemas.openxmlformats.org/markup-compatibility/2006">
      <mc:Choice xmlns:a14="http://schemas.microsoft.com/office/drawing/2010/main" Requires="a14">
        <xdr:graphicFrame macro="">
          <xdr:nvGraphicFramePr>
            <xdr:cNvPr id="18"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087433" y="1270884"/>
              <a:ext cx="1835426" cy="2020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124571</xdr:colOff>
      <xdr:row>19</xdr:row>
      <xdr:rowOff>9277</xdr:rowOff>
    </xdr:from>
    <xdr:to>
      <xdr:col>21</xdr:col>
      <xdr:colOff>131197</xdr:colOff>
      <xdr:row>30</xdr:row>
      <xdr:rowOff>0</xdr:rowOff>
    </xdr:to>
    <mc:AlternateContent xmlns:mc="http://schemas.openxmlformats.org/markup-compatibility/2006">
      <mc:Choice xmlns:a14="http://schemas.microsoft.com/office/drawing/2010/main" Requires="a14">
        <xdr:graphicFrame macro="">
          <xdr:nvGraphicFramePr>
            <xdr:cNvPr id="19"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1097371" y="3483997"/>
              <a:ext cx="1835426" cy="2002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140916</xdr:colOff>
      <xdr:row>31</xdr:row>
      <xdr:rowOff>7400</xdr:rowOff>
    </xdr:from>
    <xdr:to>
      <xdr:col>21</xdr:col>
      <xdr:colOff>147542</xdr:colOff>
      <xdr:row>35</xdr:row>
      <xdr:rowOff>152400</xdr:rowOff>
    </xdr:to>
    <mc:AlternateContent xmlns:mc="http://schemas.openxmlformats.org/markup-compatibility/2006">
      <mc:Choice xmlns:a14="http://schemas.microsoft.com/office/drawing/2010/main" Requires="a14">
        <xdr:graphicFrame macro="">
          <xdr:nvGraphicFramePr>
            <xdr:cNvPr id="20" name="Influencer Active 1"/>
            <xdr:cNvGraphicFramePr/>
          </xdr:nvGraphicFramePr>
          <xdr:xfrm>
            <a:off x="0" y="0"/>
            <a:ext cx="0" cy="0"/>
          </xdr:xfrm>
          <a:graphic>
            <a:graphicData uri="http://schemas.microsoft.com/office/drawing/2010/slicer">
              <sle:slicer xmlns:sle="http://schemas.microsoft.com/office/drawing/2010/slicer" name="Influencer Active 1"/>
            </a:graphicData>
          </a:graphic>
        </xdr:graphicFrame>
      </mc:Choice>
      <mc:Fallback>
        <xdr:sp macro="" textlink="">
          <xdr:nvSpPr>
            <xdr:cNvPr id="0" name=""/>
            <xdr:cNvSpPr>
              <a:spLocks noTextEdit="1"/>
            </xdr:cNvSpPr>
          </xdr:nvSpPr>
          <xdr:spPr>
            <a:xfrm>
              <a:off x="11113716" y="5676680"/>
              <a:ext cx="1835426" cy="876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71120</xdr:colOff>
      <xdr:row>2</xdr:row>
      <xdr:rowOff>81280</xdr:rowOff>
    </xdr:from>
    <xdr:to>
      <xdr:col>20</xdr:col>
      <xdr:colOff>203200</xdr:colOff>
      <xdr:row>6</xdr:row>
      <xdr:rowOff>91440</xdr:rowOff>
    </xdr:to>
    <xdr:pic>
      <xdr:nvPicPr>
        <xdr:cNvPr id="8" name="Picture 7"/>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653520" y="447040"/>
          <a:ext cx="741680" cy="741680"/>
        </a:xfrm>
        <a:prstGeom prst="rect">
          <a:avLst/>
        </a:prstGeom>
      </xdr:spPr>
    </xdr:pic>
    <xdr:clientData/>
  </xdr:twoCellAnchor>
  <xdr:twoCellAnchor editAs="oneCell">
    <xdr:from>
      <xdr:col>1</xdr:col>
      <xdr:colOff>243841</xdr:colOff>
      <xdr:row>3</xdr:row>
      <xdr:rowOff>71120</xdr:rowOff>
    </xdr:from>
    <xdr:to>
      <xdr:col>2</xdr:col>
      <xdr:colOff>17195</xdr:colOff>
      <xdr:row>5</xdr:row>
      <xdr:rowOff>30480</xdr:rowOff>
    </xdr:to>
    <xdr:pic>
      <xdr:nvPicPr>
        <xdr:cNvPr id="9" name="Picture 8"/>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53441" y="619760"/>
          <a:ext cx="382954" cy="325120"/>
        </a:xfrm>
        <a:prstGeom prst="rect">
          <a:avLst/>
        </a:prstGeom>
      </xdr:spPr>
    </xdr:pic>
    <xdr:clientData/>
  </xdr:twoCellAnchor>
  <xdr:twoCellAnchor editAs="oneCell">
    <xdr:from>
      <xdr:col>5</xdr:col>
      <xdr:colOff>436880</xdr:colOff>
      <xdr:row>3</xdr:row>
      <xdr:rowOff>30481</xdr:rowOff>
    </xdr:from>
    <xdr:to>
      <xdr:col>6</xdr:col>
      <xdr:colOff>206293</xdr:colOff>
      <xdr:row>5</xdr:row>
      <xdr:rowOff>40640</xdr:rowOff>
    </xdr:to>
    <xdr:pic>
      <xdr:nvPicPr>
        <xdr:cNvPr id="10" name="Picture 9"/>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484880" y="579121"/>
          <a:ext cx="379013" cy="375919"/>
        </a:xfrm>
        <a:prstGeom prst="rect">
          <a:avLst/>
        </a:prstGeom>
      </xdr:spPr>
    </xdr:pic>
    <xdr:clientData/>
  </xdr:twoCellAnchor>
  <xdr:twoCellAnchor editAs="oneCell">
    <xdr:from>
      <xdr:col>9</xdr:col>
      <xdr:colOff>579121</xdr:colOff>
      <xdr:row>3</xdr:row>
      <xdr:rowOff>50801</xdr:rowOff>
    </xdr:from>
    <xdr:to>
      <xdr:col>10</xdr:col>
      <xdr:colOff>314960</xdr:colOff>
      <xdr:row>5</xdr:row>
      <xdr:rowOff>26955</xdr:rowOff>
    </xdr:to>
    <xdr:pic>
      <xdr:nvPicPr>
        <xdr:cNvPr id="21" name="Picture 20"/>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065521" y="599441"/>
          <a:ext cx="345439" cy="341914"/>
        </a:xfrm>
        <a:prstGeom prst="rect">
          <a:avLst/>
        </a:prstGeom>
      </xdr:spPr>
    </xdr:pic>
    <xdr:clientData/>
  </xdr:twoCellAnchor>
  <xdr:twoCellAnchor editAs="oneCell">
    <xdr:from>
      <xdr:col>14</xdr:col>
      <xdr:colOff>162561</xdr:colOff>
      <xdr:row>3</xdr:row>
      <xdr:rowOff>40641</xdr:rowOff>
    </xdr:from>
    <xdr:to>
      <xdr:col>14</xdr:col>
      <xdr:colOff>528320</xdr:colOff>
      <xdr:row>5</xdr:row>
      <xdr:rowOff>40640</xdr:rowOff>
    </xdr:to>
    <xdr:pic>
      <xdr:nvPicPr>
        <xdr:cNvPr id="22" name="Picture 21"/>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696961" y="589281"/>
          <a:ext cx="365759" cy="3657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066.062153240739" createdVersion="6" refreshedVersion="6" minRefreshableVersion="3" recordCount="300">
  <cacheSource type="worksheet">
    <worksheetSource name="ZeptoSales"/>
  </cacheSource>
  <cacheFields count="10">
    <cacheField name="Product Name" numFmtId="0">
      <sharedItems/>
    </cacheField>
    <cacheField name="Category" numFmtId="0">
      <sharedItems count="6">
        <s v="Snacks"/>
        <s v="Grocery"/>
        <s v="Beverages"/>
        <s v="Dairy"/>
        <s v="Instant Food"/>
        <s v="Confectionery"/>
      </sharedItems>
    </cacheField>
    <cacheField name="City" numFmtId="0">
      <sharedItems count="6">
        <s v="Delhi"/>
        <s v="Pune"/>
        <s v="Hyderabad"/>
        <s v="Chennai"/>
        <s v="Bangalore"/>
        <s v="Mumbai"/>
      </sharedItems>
    </cacheField>
    <cacheField name="Original Price" numFmtId="0">
      <sharedItems containsSemiMixedTypes="0" containsString="0" containsNumber="1" containsInteger="1" minValue="20" maxValue="199"/>
    </cacheField>
    <cacheField name="Current Price" numFmtId="0">
      <sharedItems containsSemiMixedTypes="0" containsString="0" containsNumber="1" containsInteger="1" minValue="21" maxValue="213"/>
    </cacheField>
    <cacheField name="Discount" numFmtId="0">
      <sharedItems containsSemiMixedTypes="0" containsString="0" containsNumber="1" containsInteger="1" minValue="0" maxValue="10" count="3">
        <n v="5"/>
        <n v="10"/>
        <n v="0"/>
      </sharedItems>
    </cacheField>
    <cacheField name="Orders" numFmtId="0">
      <sharedItems containsSemiMixedTypes="0" containsString="0" containsNumber="1" containsInteger="1" minValue="50" maxValue="299"/>
    </cacheField>
    <cacheField name="Revenue" numFmtId="0">
      <sharedItems containsSemiMixedTypes="0" containsString="0" containsNumber="1" containsInteger="1" minValue="1392" maxValue="58212"/>
    </cacheField>
    <cacheField name="Influencer Active" numFmtId="0">
      <sharedItems count="2">
        <s v="No"/>
        <s v="Yes"/>
      </sharedItems>
    </cacheField>
    <cacheField name="Revenue per Order" numFmtId="0">
      <sharedItems containsSemiMixedTypes="0" containsString="0" containsNumber="1" containsInteger="1" minValue="16" maxValue="20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
  <r>
    <s v="Britannia Cake"/>
    <x v="0"/>
    <x v="0"/>
    <n v="148"/>
    <n v="163"/>
    <x v="0"/>
    <n v="283"/>
    <n v="44714"/>
    <x v="0"/>
    <n v="158"/>
  </r>
  <r>
    <s v="Britannia Cake"/>
    <x v="0"/>
    <x v="1"/>
    <n v="81"/>
    <n v="86"/>
    <x v="1"/>
    <n v="284"/>
    <n v="21584"/>
    <x v="1"/>
    <n v="76"/>
  </r>
  <r>
    <s v="Fortune Oil 1L"/>
    <x v="1"/>
    <x v="2"/>
    <n v="138"/>
    <n v="143"/>
    <x v="1"/>
    <n v="69"/>
    <n v="9177"/>
    <x v="0"/>
    <n v="133"/>
  </r>
  <r>
    <s v="Pepsi 500ml"/>
    <x v="2"/>
    <x v="0"/>
    <n v="127"/>
    <n v="127"/>
    <x v="1"/>
    <n v="83"/>
    <n v="9711"/>
    <x v="0"/>
    <n v="117"/>
  </r>
  <r>
    <s v="Aashirvaad Atta"/>
    <x v="1"/>
    <x v="3"/>
    <n v="34"/>
    <n v="49"/>
    <x v="1"/>
    <n v="169"/>
    <n v="6591"/>
    <x v="1"/>
    <n v="39"/>
  </r>
  <r>
    <s v="Amul Milk 500ml"/>
    <x v="3"/>
    <x v="0"/>
    <n v="149"/>
    <n v="159"/>
    <x v="2"/>
    <n v="246"/>
    <n v="39114"/>
    <x v="0"/>
    <n v="159"/>
  </r>
  <r>
    <s v="Britannia Cake"/>
    <x v="0"/>
    <x v="4"/>
    <n v="82"/>
    <n v="87"/>
    <x v="2"/>
    <n v="254"/>
    <n v="22098"/>
    <x v="1"/>
    <n v="87"/>
  </r>
  <r>
    <s v="Amul Milk 500ml"/>
    <x v="3"/>
    <x v="4"/>
    <n v="46"/>
    <n v="51"/>
    <x v="0"/>
    <n v="179"/>
    <n v="8234"/>
    <x v="0"/>
    <n v="46"/>
  </r>
  <r>
    <s v="Aashirvaad Atta"/>
    <x v="1"/>
    <x v="5"/>
    <n v="137"/>
    <n v="137"/>
    <x v="1"/>
    <n v="268"/>
    <n v="34036"/>
    <x v="0"/>
    <n v="127"/>
  </r>
  <r>
    <s v="Maggi Noodles"/>
    <x v="4"/>
    <x v="2"/>
    <n v="196"/>
    <n v="201"/>
    <x v="2"/>
    <n v="59"/>
    <n v="11859"/>
    <x v="1"/>
    <n v="201"/>
  </r>
  <r>
    <s v="Maggi Noodles"/>
    <x v="4"/>
    <x v="2"/>
    <n v="109"/>
    <n v="114"/>
    <x v="2"/>
    <n v="241"/>
    <n v="27474"/>
    <x v="0"/>
    <n v="114"/>
  </r>
  <r>
    <s v="Maggi Noodles"/>
    <x v="4"/>
    <x v="5"/>
    <n v="28"/>
    <n v="28"/>
    <x v="0"/>
    <n v="281"/>
    <n v="6463"/>
    <x v="0"/>
    <n v="23"/>
  </r>
  <r>
    <s v="Maggi Noodles"/>
    <x v="4"/>
    <x v="1"/>
    <n v="130"/>
    <n v="135"/>
    <x v="2"/>
    <n v="76"/>
    <n v="10260"/>
    <x v="0"/>
    <n v="135"/>
  </r>
  <r>
    <s v="Oreo Biscuits"/>
    <x v="0"/>
    <x v="4"/>
    <n v="125"/>
    <n v="125"/>
    <x v="0"/>
    <n v="155"/>
    <n v="18600"/>
    <x v="0"/>
    <n v="120"/>
  </r>
  <r>
    <s v="Aashirvaad Atta"/>
    <x v="1"/>
    <x v="0"/>
    <n v="56"/>
    <n v="66"/>
    <x v="2"/>
    <n v="89"/>
    <n v="5874"/>
    <x v="0"/>
    <n v="66"/>
  </r>
  <r>
    <s v="Coca Cola 1L"/>
    <x v="2"/>
    <x v="1"/>
    <n v="50"/>
    <n v="50"/>
    <x v="1"/>
    <n v="118"/>
    <n v="4720"/>
    <x v="1"/>
    <n v="40"/>
  </r>
  <r>
    <s v="Britannia Cake"/>
    <x v="0"/>
    <x v="0"/>
    <n v="80"/>
    <n v="85"/>
    <x v="0"/>
    <n v="232"/>
    <n v="18560"/>
    <x v="0"/>
    <n v="80"/>
  </r>
  <r>
    <s v="Pepsi 500ml"/>
    <x v="2"/>
    <x v="4"/>
    <n v="164"/>
    <n v="174"/>
    <x v="2"/>
    <n v="100"/>
    <n v="17400"/>
    <x v="1"/>
    <n v="174"/>
  </r>
  <r>
    <s v="Parle-G"/>
    <x v="0"/>
    <x v="3"/>
    <n v="102"/>
    <n v="107"/>
    <x v="1"/>
    <n v="254"/>
    <n v="24638"/>
    <x v="0"/>
    <n v="97"/>
  </r>
  <r>
    <s v="Nestle Munch"/>
    <x v="5"/>
    <x v="5"/>
    <n v="195"/>
    <n v="205"/>
    <x v="2"/>
    <n v="223"/>
    <n v="45715"/>
    <x v="0"/>
    <n v="205"/>
  </r>
  <r>
    <s v="Pepsi 500ml"/>
    <x v="2"/>
    <x v="2"/>
    <n v="154"/>
    <n v="159"/>
    <x v="0"/>
    <n v="253"/>
    <n v="38962"/>
    <x v="0"/>
    <n v="154"/>
  </r>
  <r>
    <s v="Amul Milk 500ml"/>
    <x v="3"/>
    <x v="1"/>
    <n v="120"/>
    <n v="135"/>
    <x v="2"/>
    <n v="291"/>
    <n v="39285"/>
    <x v="1"/>
    <n v="135"/>
  </r>
  <r>
    <s v="Parle-G"/>
    <x v="0"/>
    <x v="3"/>
    <n v="144"/>
    <n v="144"/>
    <x v="0"/>
    <n v="186"/>
    <n v="25854"/>
    <x v="1"/>
    <n v="139"/>
  </r>
  <r>
    <s v="Maggi Noodles"/>
    <x v="4"/>
    <x v="5"/>
    <n v="118"/>
    <n v="123"/>
    <x v="0"/>
    <n v="124"/>
    <n v="14632"/>
    <x v="0"/>
    <n v="118"/>
  </r>
  <r>
    <s v="Pepsi 500ml"/>
    <x v="2"/>
    <x v="2"/>
    <n v="41"/>
    <n v="51"/>
    <x v="1"/>
    <n v="53"/>
    <n v="2173"/>
    <x v="1"/>
    <n v="41"/>
  </r>
  <r>
    <s v="Maggi Noodles"/>
    <x v="4"/>
    <x v="4"/>
    <n v="147"/>
    <n v="147"/>
    <x v="1"/>
    <n v="167"/>
    <n v="22879"/>
    <x v="0"/>
    <n v="137"/>
  </r>
  <r>
    <s v="Fortune Oil 1L"/>
    <x v="1"/>
    <x v="1"/>
    <n v="111"/>
    <n v="121"/>
    <x v="1"/>
    <n v="227"/>
    <n v="25197"/>
    <x v="0"/>
    <n v="111"/>
  </r>
  <r>
    <s v="Coca Cola 1L"/>
    <x v="2"/>
    <x v="5"/>
    <n v="182"/>
    <n v="192"/>
    <x v="0"/>
    <n v="56"/>
    <n v="10472"/>
    <x v="1"/>
    <n v="187"/>
  </r>
  <r>
    <s v="Pepsi 500ml"/>
    <x v="2"/>
    <x v="5"/>
    <n v="160"/>
    <n v="160"/>
    <x v="2"/>
    <n v="150"/>
    <n v="24000"/>
    <x v="0"/>
    <n v="160"/>
  </r>
  <r>
    <s v="Britannia Cake"/>
    <x v="0"/>
    <x v="3"/>
    <n v="175"/>
    <n v="175"/>
    <x v="2"/>
    <n v="210"/>
    <n v="36750"/>
    <x v="0"/>
    <n v="175"/>
  </r>
  <r>
    <s v="Maggi Noodles"/>
    <x v="4"/>
    <x v="1"/>
    <n v="122"/>
    <n v="127"/>
    <x v="1"/>
    <n v="122"/>
    <n v="14274"/>
    <x v="0"/>
    <n v="117"/>
  </r>
  <r>
    <s v="Maggi Noodles"/>
    <x v="4"/>
    <x v="2"/>
    <n v="124"/>
    <n v="139"/>
    <x v="0"/>
    <n v="58"/>
    <n v="7772"/>
    <x v="0"/>
    <n v="134"/>
  </r>
  <r>
    <s v="Oreo Biscuits"/>
    <x v="0"/>
    <x v="1"/>
    <n v="159"/>
    <n v="164"/>
    <x v="1"/>
    <n v="83"/>
    <n v="12782"/>
    <x v="1"/>
    <n v="154"/>
  </r>
  <r>
    <s v="Amul Milk 500ml"/>
    <x v="3"/>
    <x v="2"/>
    <n v="142"/>
    <n v="157"/>
    <x v="1"/>
    <n v="196"/>
    <n v="28812"/>
    <x v="1"/>
    <n v="147"/>
  </r>
  <r>
    <s v="Aashirvaad Atta"/>
    <x v="1"/>
    <x v="1"/>
    <n v="80"/>
    <n v="90"/>
    <x v="0"/>
    <n v="246"/>
    <n v="20910"/>
    <x v="0"/>
    <n v="85"/>
  </r>
  <r>
    <s v="Oreo Biscuits"/>
    <x v="0"/>
    <x v="4"/>
    <n v="20"/>
    <n v="25"/>
    <x v="2"/>
    <n v="82"/>
    <n v="2050"/>
    <x v="0"/>
    <n v="25"/>
  </r>
  <r>
    <s v="Britannia Cake"/>
    <x v="0"/>
    <x v="5"/>
    <n v="138"/>
    <n v="138"/>
    <x v="1"/>
    <n v="129"/>
    <n v="16512"/>
    <x v="0"/>
    <n v="128"/>
  </r>
  <r>
    <s v="Pepsi 500ml"/>
    <x v="2"/>
    <x v="5"/>
    <n v="87"/>
    <n v="97"/>
    <x v="0"/>
    <n v="126"/>
    <n v="11592"/>
    <x v="0"/>
    <n v="92"/>
  </r>
  <r>
    <s v="Coca Cola 1L"/>
    <x v="2"/>
    <x v="5"/>
    <n v="91"/>
    <n v="91"/>
    <x v="2"/>
    <n v="239"/>
    <n v="21749"/>
    <x v="0"/>
    <n v="91"/>
  </r>
  <r>
    <s v="Britannia Cake"/>
    <x v="0"/>
    <x v="4"/>
    <n v="108"/>
    <n v="113"/>
    <x v="2"/>
    <n v="56"/>
    <n v="6328"/>
    <x v="0"/>
    <n v="113"/>
  </r>
  <r>
    <s v="Coca Cola 1L"/>
    <x v="2"/>
    <x v="1"/>
    <n v="188"/>
    <n v="198"/>
    <x v="1"/>
    <n v="81"/>
    <n v="15228"/>
    <x v="0"/>
    <n v="188"/>
  </r>
  <r>
    <s v="Nestle Munch"/>
    <x v="5"/>
    <x v="5"/>
    <n v="74"/>
    <n v="74"/>
    <x v="2"/>
    <n v="68"/>
    <n v="5032"/>
    <x v="0"/>
    <n v="74"/>
  </r>
  <r>
    <s v="Parle-G"/>
    <x v="0"/>
    <x v="3"/>
    <n v="96"/>
    <n v="101"/>
    <x v="2"/>
    <n v="299"/>
    <n v="30199"/>
    <x v="0"/>
    <n v="101"/>
  </r>
  <r>
    <s v="Oreo Biscuits"/>
    <x v="0"/>
    <x v="0"/>
    <n v="177"/>
    <n v="187"/>
    <x v="0"/>
    <n v="143"/>
    <n v="26026"/>
    <x v="0"/>
    <n v="182"/>
  </r>
  <r>
    <s v="Coca Cola 1L"/>
    <x v="2"/>
    <x v="5"/>
    <n v="191"/>
    <n v="201"/>
    <x v="1"/>
    <n v="73"/>
    <n v="13943"/>
    <x v="1"/>
    <n v="191"/>
  </r>
  <r>
    <s v="Fortune Oil 1L"/>
    <x v="1"/>
    <x v="3"/>
    <n v="128"/>
    <n v="143"/>
    <x v="2"/>
    <n v="231"/>
    <n v="33033"/>
    <x v="1"/>
    <n v="143"/>
  </r>
  <r>
    <s v="Fortune Oil 1L"/>
    <x v="1"/>
    <x v="3"/>
    <n v="118"/>
    <n v="128"/>
    <x v="0"/>
    <n v="287"/>
    <n v="35301"/>
    <x v="0"/>
    <n v="123"/>
  </r>
  <r>
    <s v="Nestle Munch"/>
    <x v="5"/>
    <x v="5"/>
    <n v="123"/>
    <n v="123"/>
    <x v="2"/>
    <n v="207"/>
    <n v="25461"/>
    <x v="1"/>
    <n v="123"/>
  </r>
  <r>
    <s v="Pepsi 500ml"/>
    <x v="2"/>
    <x v="4"/>
    <n v="86"/>
    <n v="86"/>
    <x v="2"/>
    <n v="198"/>
    <n v="17028"/>
    <x v="0"/>
    <n v="86"/>
  </r>
  <r>
    <s v="Coca Cola 1L"/>
    <x v="2"/>
    <x v="2"/>
    <n v="176"/>
    <n v="186"/>
    <x v="2"/>
    <n v="171"/>
    <n v="31806"/>
    <x v="0"/>
    <n v="186"/>
  </r>
  <r>
    <s v="Fortune Oil 1L"/>
    <x v="1"/>
    <x v="1"/>
    <n v="137"/>
    <n v="147"/>
    <x v="1"/>
    <n v="52"/>
    <n v="7124"/>
    <x v="0"/>
    <n v="137"/>
  </r>
  <r>
    <s v="Parle-G"/>
    <x v="0"/>
    <x v="1"/>
    <n v="62"/>
    <n v="72"/>
    <x v="0"/>
    <n v="130"/>
    <n v="8710"/>
    <x v="0"/>
    <n v="67"/>
  </r>
  <r>
    <s v="Coca Cola 1L"/>
    <x v="2"/>
    <x v="1"/>
    <n v="80"/>
    <n v="90"/>
    <x v="1"/>
    <n v="226"/>
    <n v="18080"/>
    <x v="1"/>
    <n v="80"/>
  </r>
  <r>
    <s v="Amul Milk 500ml"/>
    <x v="3"/>
    <x v="5"/>
    <n v="37"/>
    <n v="37"/>
    <x v="0"/>
    <n v="209"/>
    <n v="6688"/>
    <x v="0"/>
    <n v="32"/>
  </r>
  <r>
    <s v="Aashirvaad Atta"/>
    <x v="1"/>
    <x v="3"/>
    <n v="45"/>
    <n v="45"/>
    <x v="0"/>
    <n v="94"/>
    <n v="3760"/>
    <x v="0"/>
    <n v="40"/>
  </r>
  <r>
    <s v="Aashirvaad Atta"/>
    <x v="1"/>
    <x v="0"/>
    <n v="68"/>
    <n v="83"/>
    <x v="0"/>
    <n v="101"/>
    <n v="7878"/>
    <x v="1"/>
    <n v="78"/>
  </r>
  <r>
    <s v="Maggi Noodles"/>
    <x v="4"/>
    <x v="2"/>
    <n v="182"/>
    <n v="197"/>
    <x v="2"/>
    <n v="294"/>
    <n v="57918"/>
    <x v="0"/>
    <n v="197"/>
  </r>
  <r>
    <s v="Oreo Biscuits"/>
    <x v="0"/>
    <x v="0"/>
    <n v="188"/>
    <n v="203"/>
    <x v="1"/>
    <n v="279"/>
    <n v="53847"/>
    <x v="0"/>
    <n v="193"/>
  </r>
  <r>
    <s v="Pepsi 500ml"/>
    <x v="2"/>
    <x v="0"/>
    <n v="135"/>
    <n v="140"/>
    <x v="0"/>
    <n v="162"/>
    <n v="21870"/>
    <x v="0"/>
    <n v="135"/>
  </r>
  <r>
    <s v="Amul Milk 500ml"/>
    <x v="3"/>
    <x v="2"/>
    <n v="193"/>
    <n v="193"/>
    <x v="1"/>
    <n v="159"/>
    <n v="29097"/>
    <x v="0"/>
    <n v="183"/>
  </r>
  <r>
    <s v="Parle-G"/>
    <x v="0"/>
    <x v="5"/>
    <n v="150"/>
    <n v="165"/>
    <x v="2"/>
    <n v="179"/>
    <n v="29535"/>
    <x v="0"/>
    <n v="165"/>
  </r>
  <r>
    <s v="Aashirvaad Atta"/>
    <x v="1"/>
    <x v="2"/>
    <n v="160"/>
    <n v="165"/>
    <x v="2"/>
    <n v="244"/>
    <n v="40260"/>
    <x v="0"/>
    <n v="165"/>
  </r>
  <r>
    <s v="Oreo Biscuits"/>
    <x v="0"/>
    <x v="5"/>
    <n v="123"/>
    <n v="138"/>
    <x v="2"/>
    <n v="174"/>
    <n v="24012"/>
    <x v="1"/>
    <n v="138"/>
  </r>
  <r>
    <s v="Amul Milk 500ml"/>
    <x v="3"/>
    <x v="2"/>
    <n v="99"/>
    <n v="104"/>
    <x v="2"/>
    <n v="211"/>
    <n v="21944"/>
    <x v="0"/>
    <n v="104"/>
  </r>
  <r>
    <s v="Coca Cola 1L"/>
    <x v="2"/>
    <x v="0"/>
    <n v="140"/>
    <n v="140"/>
    <x v="1"/>
    <n v="269"/>
    <n v="34970"/>
    <x v="0"/>
    <n v="130"/>
  </r>
  <r>
    <s v="Pepsi 500ml"/>
    <x v="2"/>
    <x v="2"/>
    <n v="185"/>
    <n v="185"/>
    <x v="1"/>
    <n v="200"/>
    <n v="35000"/>
    <x v="0"/>
    <n v="175"/>
  </r>
  <r>
    <s v="Britannia Cake"/>
    <x v="0"/>
    <x v="3"/>
    <n v="172"/>
    <n v="172"/>
    <x v="1"/>
    <n v="132"/>
    <n v="21384"/>
    <x v="0"/>
    <n v="162"/>
  </r>
  <r>
    <s v="Parle-G"/>
    <x v="0"/>
    <x v="4"/>
    <n v="139"/>
    <n v="144"/>
    <x v="2"/>
    <n v="253"/>
    <n v="36432"/>
    <x v="1"/>
    <n v="144"/>
  </r>
  <r>
    <s v="Parle-G"/>
    <x v="0"/>
    <x v="5"/>
    <n v="180"/>
    <n v="190"/>
    <x v="1"/>
    <n v="156"/>
    <n v="28080"/>
    <x v="1"/>
    <n v="180"/>
  </r>
  <r>
    <s v="Aashirvaad Atta"/>
    <x v="1"/>
    <x v="1"/>
    <n v="155"/>
    <n v="165"/>
    <x v="1"/>
    <n v="74"/>
    <n v="11470"/>
    <x v="0"/>
    <n v="155"/>
  </r>
  <r>
    <s v="Aashirvaad Atta"/>
    <x v="1"/>
    <x v="1"/>
    <n v="105"/>
    <n v="105"/>
    <x v="0"/>
    <n v="295"/>
    <n v="29500"/>
    <x v="1"/>
    <n v="100"/>
  </r>
  <r>
    <s v="Maggi Noodles"/>
    <x v="4"/>
    <x v="5"/>
    <n v="49"/>
    <n v="49"/>
    <x v="1"/>
    <n v="99"/>
    <n v="3861"/>
    <x v="1"/>
    <n v="39"/>
  </r>
  <r>
    <s v="Pepsi 500ml"/>
    <x v="2"/>
    <x v="4"/>
    <n v="53"/>
    <n v="63"/>
    <x v="2"/>
    <n v="179"/>
    <n v="11277"/>
    <x v="0"/>
    <n v="63"/>
  </r>
  <r>
    <s v="Coca Cola 1L"/>
    <x v="2"/>
    <x v="5"/>
    <n v="99"/>
    <n v="109"/>
    <x v="2"/>
    <n v="297"/>
    <n v="32373"/>
    <x v="1"/>
    <n v="109"/>
  </r>
  <r>
    <s v="Aashirvaad Atta"/>
    <x v="1"/>
    <x v="0"/>
    <n v="159"/>
    <n v="174"/>
    <x v="0"/>
    <n v="138"/>
    <n v="23322"/>
    <x v="1"/>
    <n v="169"/>
  </r>
  <r>
    <s v="Nestle Munch"/>
    <x v="5"/>
    <x v="2"/>
    <n v="191"/>
    <n v="191"/>
    <x v="1"/>
    <n v="211"/>
    <n v="38191"/>
    <x v="0"/>
    <n v="181"/>
  </r>
  <r>
    <s v="Pepsi 500ml"/>
    <x v="2"/>
    <x v="1"/>
    <n v="186"/>
    <n v="186"/>
    <x v="1"/>
    <n v="66"/>
    <n v="11616"/>
    <x v="1"/>
    <n v="176"/>
  </r>
  <r>
    <s v="Fortune Oil 1L"/>
    <x v="1"/>
    <x v="1"/>
    <n v="114"/>
    <n v="114"/>
    <x v="1"/>
    <n v="283"/>
    <n v="29432"/>
    <x v="0"/>
    <n v="104"/>
  </r>
  <r>
    <s v="Britannia Cake"/>
    <x v="0"/>
    <x v="2"/>
    <n v="20"/>
    <n v="35"/>
    <x v="1"/>
    <n v="257"/>
    <n v="6425"/>
    <x v="1"/>
    <n v="25"/>
  </r>
  <r>
    <s v="Coca Cola 1L"/>
    <x v="2"/>
    <x v="2"/>
    <n v="177"/>
    <n v="187"/>
    <x v="0"/>
    <n v="299"/>
    <n v="54418"/>
    <x v="0"/>
    <n v="182"/>
  </r>
  <r>
    <s v="Parle-G"/>
    <x v="0"/>
    <x v="1"/>
    <n v="151"/>
    <n v="156"/>
    <x v="2"/>
    <n v="52"/>
    <n v="8112"/>
    <x v="1"/>
    <n v="156"/>
  </r>
  <r>
    <s v="Oreo Biscuits"/>
    <x v="0"/>
    <x v="2"/>
    <n v="32"/>
    <n v="47"/>
    <x v="1"/>
    <n v="147"/>
    <n v="5439"/>
    <x v="0"/>
    <n v="37"/>
  </r>
  <r>
    <s v="Coca Cola 1L"/>
    <x v="2"/>
    <x v="0"/>
    <n v="55"/>
    <n v="60"/>
    <x v="0"/>
    <n v="208"/>
    <n v="11440"/>
    <x v="0"/>
    <n v="55"/>
  </r>
  <r>
    <s v="Maggi Noodles"/>
    <x v="4"/>
    <x v="4"/>
    <n v="37"/>
    <n v="52"/>
    <x v="1"/>
    <n v="163"/>
    <n v="6846"/>
    <x v="0"/>
    <n v="42"/>
  </r>
  <r>
    <s v="Maggi Noodles"/>
    <x v="4"/>
    <x v="2"/>
    <n v="170"/>
    <n v="175"/>
    <x v="0"/>
    <n v="294"/>
    <n v="49980"/>
    <x v="0"/>
    <n v="170"/>
  </r>
  <r>
    <s v="Fortune Oil 1L"/>
    <x v="1"/>
    <x v="1"/>
    <n v="29"/>
    <n v="29"/>
    <x v="2"/>
    <n v="132"/>
    <n v="3828"/>
    <x v="0"/>
    <n v="29"/>
  </r>
  <r>
    <s v="Oreo Biscuits"/>
    <x v="0"/>
    <x v="0"/>
    <n v="57"/>
    <n v="57"/>
    <x v="0"/>
    <n v="247"/>
    <n v="12844"/>
    <x v="0"/>
    <n v="52"/>
  </r>
  <r>
    <s v="Oreo Biscuits"/>
    <x v="0"/>
    <x v="4"/>
    <n v="179"/>
    <n v="194"/>
    <x v="1"/>
    <n v="257"/>
    <n v="47288"/>
    <x v="0"/>
    <n v="184"/>
  </r>
  <r>
    <s v="Aashirvaad Atta"/>
    <x v="1"/>
    <x v="1"/>
    <n v="63"/>
    <n v="73"/>
    <x v="0"/>
    <n v="67"/>
    <n v="4556"/>
    <x v="0"/>
    <n v="68"/>
  </r>
  <r>
    <s v="Aashirvaad Atta"/>
    <x v="1"/>
    <x v="2"/>
    <n v="136"/>
    <n v="136"/>
    <x v="1"/>
    <n v="286"/>
    <n v="36036"/>
    <x v="0"/>
    <n v="126"/>
  </r>
  <r>
    <s v="Aashirvaad Atta"/>
    <x v="1"/>
    <x v="2"/>
    <n v="165"/>
    <n v="175"/>
    <x v="0"/>
    <n v="211"/>
    <n v="35870"/>
    <x v="0"/>
    <n v="170"/>
  </r>
  <r>
    <s v="Coca Cola 1L"/>
    <x v="2"/>
    <x v="5"/>
    <n v="50"/>
    <n v="60"/>
    <x v="1"/>
    <n v="270"/>
    <n v="13500"/>
    <x v="0"/>
    <n v="50"/>
  </r>
  <r>
    <s v="Nestle Munch"/>
    <x v="5"/>
    <x v="5"/>
    <n v="180"/>
    <n v="185"/>
    <x v="1"/>
    <n v="163"/>
    <n v="28525"/>
    <x v="0"/>
    <n v="175"/>
  </r>
  <r>
    <s v="Pepsi 500ml"/>
    <x v="2"/>
    <x v="2"/>
    <n v="32"/>
    <n v="47"/>
    <x v="1"/>
    <n v="120"/>
    <n v="4440"/>
    <x v="0"/>
    <n v="37"/>
  </r>
  <r>
    <s v="Fortune Oil 1L"/>
    <x v="1"/>
    <x v="1"/>
    <n v="97"/>
    <n v="112"/>
    <x v="2"/>
    <n v="187"/>
    <n v="20944"/>
    <x v="0"/>
    <n v="112"/>
  </r>
  <r>
    <s v="Pepsi 500ml"/>
    <x v="2"/>
    <x v="0"/>
    <n v="181"/>
    <n v="186"/>
    <x v="2"/>
    <n v="54"/>
    <n v="10044"/>
    <x v="0"/>
    <n v="186"/>
  </r>
  <r>
    <s v="Pepsi 500ml"/>
    <x v="2"/>
    <x v="3"/>
    <n v="184"/>
    <n v="194"/>
    <x v="1"/>
    <n v="86"/>
    <n v="15824"/>
    <x v="0"/>
    <n v="184"/>
  </r>
  <r>
    <s v="Pepsi 500ml"/>
    <x v="2"/>
    <x v="1"/>
    <n v="57"/>
    <n v="62"/>
    <x v="1"/>
    <n v="236"/>
    <n v="12272"/>
    <x v="0"/>
    <n v="52"/>
  </r>
  <r>
    <s v="Coca Cola 1L"/>
    <x v="2"/>
    <x v="4"/>
    <n v="50"/>
    <n v="50"/>
    <x v="0"/>
    <n v="163"/>
    <n v="7335"/>
    <x v="1"/>
    <n v="45"/>
  </r>
  <r>
    <s v="Oreo Biscuits"/>
    <x v="0"/>
    <x v="2"/>
    <n v="115"/>
    <n v="120"/>
    <x v="2"/>
    <n v="122"/>
    <n v="14640"/>
    <x v="0"/>
    <n v="120"/>
  </r>
  <r>
    <s v="Fortune Oil 1L"/>
    <x v="1"/>
    <x v="4"/>
    <n v="120"/>
    <n v="135"/>
    <x v="2"/>
    <n v="138"/>
    <n v="18630"/>
    <x v="1"/>
    <n v="135"/>
  </r>
  <r>
    <s v="Pepsi 500ml"/>
    <x v="2"/>
    <x v="0"/>
    <n v="125"/>
    <n v="125"/>
    <x v="2"/>
    <n v="146"/>
    <n v="18250"/>
    <x v="1"/>
    <n v="125"/>
  </r>
  <r>
    <s v="Parle-G"/>
    <x v="0"/>
    <x v="4"/>
    <n v="148"/>
    <n v="153"/>
    <x v="2"/>
    <n v="171"/>
    <n v="26163"/>
    <x v="1"/>
    <n v="153"/>
  </r>
  <r>
    <s v="Fortune Oil 1L"/>
    <x v="1"/>
    <x v="2"/>
    <n v="73"/>
    <n v="78"/>
    <x v="0"/>
    <n v="82"/>
    <n v="5986"/>
    <x v="0"/>
    <n v="73"/>
  </r>
  <r>
    <s v="Maggi Noodles"/>
    <x v="4"/>
    <x v="0"/>
    <n v="31"/>
    <n v="46"/>
    <x v="1"/>
    <n v="109"/>
    <n v="3924"/>
    <x v="0"/>
    <n v="36"/>
  </r>
  <r>
    <s v="Amul Milk 500ml"/>
    <x v="3"/>
    <x v="3"/>
    <n v="199"/>
    <n v="204"/>
    <x v="2"/>
    <n v="269"/>
    <n v="54876"/>
    <x v="0"/>
    <n v="204"/>
  </r>
  <r>
    <s v="Pepsi 500ml"/>
    <x v="2"/>
    <x v="2"/>
    <n v="184"/>
    <n v="199"/>
    <x v="0"/>
    <n v="69"/>
    <n v="13386"/>
    <x v="0"/>
    <n v="194"/>
  </r>
  <r>
    <s v="Nestle Munch"/>
    <x v="5"/>
    <x v="2"/>
    <n v="151"/>
    <n v="151"/>
    <x v="2"/>
    <n v="57"/>
    <n v="8607"/>
    <x v="0"/>
    <n v="151"/>
  </r>
  <r>
    <s v="Fortune Oil 1L"/>
    <x v="1"/>
    <x v="2"/>
    <n v="23"/>
    <n v="28"/>
    <x v="0"/>
    <n v="276"/>
    <n v="6348"/>
    <x v="1"/>
    <n v="23"/>
  </r>
  <r>
    <s v="Coca Cola 1L"/>
    <x v="2"/>
    <x v="3"/>
    <n v="83"/>
    <n v="93"/>
    <x v="1"/>
    <n v="148"/>
    <n v="12284"/>
    <x v="0"/>
    <n v="83"/>
  </r>
  <r>
    <s v="Pepsi 500ml"/>
    <x v="2"/>
    <x v="4"/>
    <n v="138"/>
    <n v="153"/>
    <x v="1"/>
    <n v="182"/>
    <n v="26026"/>
    <x v="0"/>
    <n v="143"/>
  </r>
  <r>
    <s v="Oreo Biscuits"/>
    <x v="0"/>
    <x v="4"/>
    <n v="116"/>
    <n v="131"/>
    <x v="1"/>
    <n v="283"/>
    <n v="34243"/>
    <x v="0"/>
    <n v="121"/>
  </r>
  <r>
    <s v="Britannia Cake"/>
    <x v="0"/>
    <x v="0"/>
    <n v="98"/>
    <n v="113"/>
    <x v="1"/>
    <n v="233"/>
    <n v="23999"/>
    <x v="0"/>
    <n v="103"/>
  </r>
  <r>
    <s v="Oreo Biscuits"/>
    <x v="0"/>
    <x v="3"/>
    <n v="176"/>
    <n v="186"/>
    <x v="2"/>
    <n v="150"/>
    <n v="27900"/>
    <x v="0"/>
    <n v="186"/>
  </r>
  <r>
    <s v="Nestle Munch"/>
    <x v="5"/>
    <x v="2"/>
    <n v="65"/>
    <n v="75"/>
    <x v="0"/>
    <n v="168"/>
    <n v="11760"/>
    <x v="0"/>
    <n v="70"/>
  </r>
  <r>
    <s v="Pepsi 500ml"/>
    <x v="2"/>
    <x v="2"/>
    <n v="48"/>
    <n v="53"/>
    <x v="2"/>
    <n v="192"/>
    <n v="10176"/>
    <x v="0"/>
    <n v="53"/>
  </r>
  <r>
    <s v="Coca Cola 1L"/>
    <x v="2"/>
    <x v="1"/>
    <n v="101"/>
    <n v="101"/>
    <x v="0"/>
    <n v="294"/>
    <n v="28224"/>
    <x v="1"/>
    <n v="96"/>
  </r>
  <r>
    <s v="Parle-G"/>
    <x v="0"/>
    <x v="4"/>
    <n v="75"/>
    <n v="90"/>
    <x v="1"/>
    <n v="55"/>
    <n v="4400"/>
    <x v="0"/>
    <n v="80"/>
  </r>
  <r>
    <s v="Britannia Cake"/>
    <x v="0"/>
    <x v="4"/>
    <n v="132"/>
    <n v="132"/>
    <x v="2"/>
    <n v="255"/>
    <n v="33660"/>
    <x v="0"/>
    <n v="132"/>
  </r>
  <r>
    <s v="Parle-G"/>
    <x v="0"/>
    <x v="2"/>
    <n v="140"/>
    <n v="155"/>
    <x v="1"/>
    <n v="85"/>
    <n v="12325"/>
    <x v="0"/>
    <n v="145"/>
  </r>
  <r>
    <s v="Nestle Munch"/>
    <x v="5"/>
    <x v="0"/>
    <n v="87"/>
    <n v="87"/>
    <x v="1"/>
    <n v="199"/>
    <n v="15323"/>
    <x v="0"/>
    <n v="77"/>
  </r>
  <r>
    <s v="Parle-G"/>
    <x v="0"/>
    <x v="2"/>
    <n v="187"/>
    <n v="187"/>
    <x v="2"/>
    <n v="131"/>
    <n v="24497"/>
    <x v="0"/>
    <n v="187"/>
  </r>
  <r>
    <s v="Amul Milk 500ml"/>
    <x v="3"/>
    <x v="4"/>
    <n v="156"/>
    <n v="166"/>
    <x v="1"/>
    <n v="144"/>
    <n v="22464"/>
    <x v="0"/>
    <n v="156"/>
  </r>
  <r>
    <s v="Maggi Noodles"/>
    <x v="4"/>
    <x v="4"/>
    <n v="174"/>
    <n v="189"/>
    <x v="0"/>
    <n v="162"/>
    <n v="29808"/>
    <x v="0"/>
    <n v="184"/>
  </r>
  <r>
    <s v="Amul Milk 500ml"/>
    <x v="3"/>
    <x v="4"/>
    <n v="135"/>
    <n v="145"/>
    <x v="1"/>
    <n v="71"/>
    <n v="9585"/>
    <x v="0"/>
    <n v="135"/>
  </r>
  <r>
    <s v="Nestle Munch"/>
    <x v="5"/>
    <x v="2"/>
    <n v="77"/>
    <n v="92"/>
    <x v="1"/>
    <n v="50"/>
    <n v="4100"/>
    <x v="0"/>
    <n v="82"/>
  </r>
  <r>
    <s v="Coca Cola 1L"/>
    <x v="2"/>
    <x v="5"/>
    <n v="80"/>
    <n v="90"/>
    <x v="0"/>
    <n v="249"/>
    <n v="21165"/>
    <x v="0"/>
    <n v="85"/>
  </r>
  <r>
    <s v="Nestle Munch"/>
    <x v="5"/>
    <x v="2"/>
    <n v="84"/>
    <n v="84"/>
    <x v="1"/>
    <n v="272"/>
    <n v="20128"/>
    <x v="0"/>
    <n v="74"/>
  </r>
  <r>
    <s v="Maggi Noodles"/>
    <x v="4"/>
    <x v="5"/>
    <n v="94"/>
    <n v="94"/>
    <x v="0"/>
    <n v="219"/>
    <n v="19491"/>
    <x v="1"/>
    <n v="89"/>
  </r>
  <r>
    <s v="Maggi Noodles"/>
    <x v="4"/>
    <x v="4"/>
    <n v="88"/>
    <n v="103"/>
    <x v="2"/>
    <n v="237"/>
    <n v="24411"/>
    <x v="1"/>
    <n v="103"/>
  </r>
  <r>
    <s v="Amul Milk 500ml"/>
    <x v="3"/>
    <x v="1"/>
    <n v="169"/>
    <n v="184"/>
    <x v="1"/>
    <n v="267"/>
    <n v="46458"/>
    <x v="0"/>
    <n v="174"/>
  </r>
  <r>
    <s v="Oreo Biscuits"/>
    <x v="0"/>
    <x v="3"/>
    <n v="101"/>
    <n v="101"/>
    <x v="2"/>
    <n v="107"/>
    <n v="10807"/>
    <x v="0"/>
    <n v="101"/>
  </r>
  <r>
    <s v="Aashirvaad Atta"/>
    <x v="1"/>
    <x v="2"/>
    <n v="141"/>
    <n v="141"/>
    <x v="2"/>
    <n v="150"/>
    <n v="21150"/>
    <x v="1"/>
    <n v="141"/>
  </r>
  <r>
    <s v="Aashirvaad Atta"/>
    <x v="1"/>
    <x v="2"/>
    <n v="78"/>
    <n v="93"/>
    <x v="2"/>
    <n v="255"/>
    <n v="23715"/>
    <x v="0"/>
    <n v="93"/>
  </r>
  <r>
    <s v="Britannia Cake"/>
    <x v="0"/>
    <x v="0"/>
    <n v="181"/>
    <n v="186"/>
    <x v="0"/>
    <n v="88"/>
    <n v="15928"/>
    <x v="0"/>
    <n v="181"/>
  </r>
  <r>
    <s v="Parle-G"/>
    <x v="0"/>
    <x v="0"/>
    <n v="134"/>
    <n v="144"/>
    <x v="2"/>
    <n v="206"/>
    <n v="29664"/>
    <x v="0"/>
    <n v="144"/>
  </r>
  <r>
    <s v="Pepsi 500ml"/>
    <x v="2"/>
    <x v="5"/>
    <n v="147"/>
    <n v="152"/>
    <x v="1"/>
    <n v="122"/>
    <n v="17324"/>
    <x v="1"/>
    <n v="142"/>
  </r>
  <r>
    <s v="Nestle Munch"/>
    <x v="5"/>
    <x v="1"/>
    <n v="27"/>
    <n v="42"/>
    <x v="1"/>
    <n v="296"/>
    <n v="9472"/>
    <x v="0"/>
    <n v="32"/>
  </r>
  <r>
    <s v="Nestle Munch"/>
    <x v="5"/>
    <x v="3"/>
    <n v="97"/>
    <n v="107"/>
    <x v="2"/>
    <n v="55"/>
    <n v="5885"/>
    <x v="1"/>
    <n v="107"/>
  </r>
  <r>
    <s v="Coca Cola 1L"/>
    <x v="2"/>
    <x v="4"/>
    <n v="183"/>
    <n v="183"/>
    <x v="2"/>
    <n v="132"/>
    <n v="24156"/>
    <x v="0"/>
    <n v="183"/>
  </r>
  <r>
    <s v="Coca Cola 1L"/>
    <x v="2"/>
    <x v="5"/>
    <n v="187"/>
    <n v="202"/>
    <x v="2"/>
    <n v="124"/>
    <n v="25048"/>
    <x v="1"/>
    <n v="202"/>
  </r>
  <r>
    <s v="Parle-G"/>
    <x v="0"/>
    <x v="0"/>
    <n v="64"/>
    <n v="64"/>
    <x v="1"/>
    <n v="87"/>
    <n v="4698"/>
    <x v="0"/>
    <n v="54"/>
  </r>
  <r>
    <s v="Parle-G"/>
    <x v="0"/>
    <x v="2"/>
    <n v="60"/>
    <n v="65"/>
    <x v="2"/>
    <n v="246"/>
    <n v="15990"/>
    <x v="1"/>
    <n v="65"/>
  </r>
  <r>
    <s v="Britannia Cake"/>
    <x v="0"/>
    <x v="1"/>
    <n v="81"/>
    <n v="96"/>
    <x v="0"/>
    <n v="188"/>
    <n v="17108"/>
    <x v="0"/>
    <n v="91"/>
  </r>
  <r>
    <s v="Pepsi 500ml"/>
    <x v="2"/>
    <x v="3"/>
    <n v="48"/>
    <n v="63"/>
    <x v="2"/>
    <n v="52"/>
    <n v="3276"/>
    <x v="0"/>
    <n v="63"/>
  </r>
  <r>
    <s v="Pepsi 500ml"/>
    <x v="2"/>
    <x v="4"/>
    <n v="44"/>
    <n v="44"/>
    <x v="0"/>
    <n v="161"/>
    <n v="6279"/>
    <x v="1"/>
    <n v="39"/>
  </r>
  <r>
    <s v="Amul Milk 500ml"/>
    <x v="3"/>
    <x v="3"/>
    <n v="173"/>
    <n v="188"/>
    <x v="0"/>
    <n v="86"/>
    <n v="15738"/>
    <x v="1"/>
    <n v="183"/>
  </r>
  <r>
    <s v="Maggi Noodles"/>
    <x v="4"/>
    <x v="4"/>
    <n v="42"/>
    <n v="42"/>
    <x v="1"/>
    <n v="110"/>
    <n v="3520"/>
    <x v="0"/>
    <n v="32"/>
  </r>
  <r>
    <s v="Parle-G"/>
    <x v="0"/>
    <x v="3"/>
    <n v="147"/>
    <n v="147"/>
    <x v="2"/>
    <n v="284"/>
    <n v="41748"/>
    <x v="0"/>
    <n v="147"/>
  </r>
  <r>
    <s v="Amul Milk 500ml"/>
    <x v="3"/>
    <x v="3"/>
    <n v="44"/>
    <n v="44"/>
    <x v="1"/>
    <n v="103"/>
    <n v="3502"/>
    <x v="0"/>
    <n v="34"/>
  </r>
  <r>
    <s v="Coca Cola 1L"/>
    <x v="2"/>
    <x v="3"/>
    <n v="149"/>
    <n v="159"/>
    <x v="2"/>
    <n v="93"/>
    <n v="14787"/>
    <x v="0"/>
    <n v="159"/>
  </r>
  <r>
    <s v="Fortune Oil 1L"/>
    <x v="1"/>
    <x v="0"/>
    <n v="42"/>
    <n v="57"/>
    <x v="0"/>
    <n v="241"/>
    <n v="12532"/>
    <x v="0"/>
    <n v="52"/>
  </r>
  <r>
    <s v="Amul Milk 500ml"/>
    <x v="3"/>
    <x v="3"/>
    <n v="134"/>
    <n v="134"/>
    <x v="0"/>
    <n v="82"/>
    <n v="10578"/>
    <x v="1"/>
    <n v="129"/>
  </r>
  <r>
    <s v="Pepsi 500ml"/>
    <x v="2"/>
    <x v="3"/>
    <n v="67"/>
    <n v="77"/>
    <x v="0"/>
    <n v="93"/>
    <n v="6696"/>
    <x v="0"/>
    <n v="72"/>
  </r>
  <r>
    <s v="Amul Milk 500ml"/>
    <x v="3"/>
    <x v="5"/>
    <n v="198"/>
    <n v="198"/>
    <x v="1"/>
    <n v="172"/>
    <n v="32336"/>
    <x v="0"/>
    <n v="188"/>
  </r>
  <r>
    <s v="Nestle Munch"/>
    <x v="5"/>
    <x v="4"/>
    <n v="141"/>
    <n v="151"/>
    <x v="0"/>
    <n v="65"/>
    <n v="9490"/>
    <x v="1"/>
    <n v="146"/>
  </r>
  <r>
    <s v="Maggi Noodles"/>
    <x v="4"/>
    <x v="1"/>
    <n v="77"/>
    <n v="77"/>
    <x v="2"/>
    <n v="89"/>
    <n v="6853"/>
    <x v="0"/>
    <n v="77"/>
  </r>
  <r>
    <s v="Amul Milk 500ml"/>
    <x v="3"/>
    <x v="3"/>
    <n v="80"/>
    <n v="80"/>
    <x v="0"/>
    <n v="297"/>
    <n v="22275"/>
    <x v="0"/>
    <n v="75"/>
  </r>
  <r>
    <s v="Oreo Biscuits"/>
    <x v="0"/>
    <x v="0"/>
    <n v="128"/>
    <n v="128"/>
    <x v="0"/>
    <n v="263"/>
    <n v="32349"/>
    <x v="1"/>
    <n v="123"/>
  </r>
  <r>
    <s v="Aashirvaad Atta"/>
    <x v="1"/>
    <x v="0"/>
    <n v="67"/>
    <n v="82"/>
    <x v="1"/>
    <n v="258"/>
    <n v="18576"/>
    <x v="0"/>
    <n v="72"/>
  </r>
  <r>
    <s v="Coca Cola 1L"/>
    <x v="2"/>
    <x v="4"/>
    <n v="77"/>
    <n v="82"/>
    <x v="0"/>
    <n v="87"/>
    <n v="6699"/>
    <x v="0"/>
    <n v="77"/>
  </r>
  <r>
    <s v="Britannia Cake"/>
    <x v="0"/>
    <x v="3"/>
    <n v="142"/>
    <n v="152"/>
    <x v="2"/>
    <n v="184"/>
    <n v="27968"/>
    <x v="0"/>
    <n v="152"/>
  </r>
  <r>
    <s v="Fortune Oil 1L"/>
    <x v="1"/>
    <x v="5"/>
    <n v="88"/>
    <n v="103"/>
    <x v="2"/>
    <n v="56"/>
    <n v="5768"/>
    <x v="0"/>
    <n v="103"/>
  </r>
  <r>
    <s v="Britannia Cake"/>
    <x v="0"/>
    <x v="2"/>
    <n v="167"/>
    <n v="172"/>
    <x v="0"/>
    <n v="252"/>
    <n v="42084"/>
    <x v="0"/>
    <n v="167"/>
  </r>
  <r>
    <s v="Aashirvaad Atta"/>
    <x v="1"/>
    <x v="2"/>
    <n v="109"/>
    <n v="119"/>
    <x v="2"/>
    <n v="161"/>
    <n v="19159"/>
    <x v="0"/>
    <n v="119"/>
  </r>
  <r>
    <s v="Nestle Munch"/>
    <x v="5"/>
    <x v="3"/>
    <n v="161"/>
    <n v="171"/>
    <x v="2"/>
    <n v="226"/>
    <n v="38646"/>
    <x v="0"/>
    <n v="171"/>
  </r>
  <r>
    <s v="Aashirvaad Atta"/>
    <x v="1"/>
    <x v="3"/>
    <n v="93"/>
    <n v="108"/>
    <x v="2"/>
    <n v="107"/>
    <n v="11556"/>
    <x v="0"/>
    <n v="108"/>
  </r>
  <r>
    <s v="Parle-G"/>
    <x v="0"/>
    <x v="1"/>
    <n v="93"/>
    <n v="93"/>
    <x v="0"/>
    <n v="106"/>
    <n v="9328"/>
    <x v="1"/>
    <n v="88"/>
  </r>
  <r>
    <s v="Britannia Cake"/>
    <x v="0"/>
    <x v="2"/>
    <n v="198"/>
    <n v="203"/>
    <x v="2"/>
    <n v="188"/>
    <n v="38164"/>
    <x v="1"/>
    <n v="203"/>
  </r>
  <r>
    <s v="Pepsi 500ml"/>
    <x v="2"/>
    <x v="3"/>
    <n v="161"/>
    <n v="161"/>
    <x v="0"/>
    <n v="211"/>
    <n v="32916"/>
    <x v="0"/>
    <n v="156"/>
  </r>
  <r>
    <s v="Britannia Cake"/>
    <x v="0"/>
    <x v="5"/>
    <n v="86"/>
    <n v="91"/>
    <x v="1"/>
    <n v="70"/>
    <n v="5670"/>
    <x v="0"/>
    <n v="81"/>
  </r>
  <r>
    <s v="Parle-G"/>
    <x v="0"/>
    <x v="5"/>
    <n v="148"/>
    <n v="163"/>
    <x v="0"/>
    <n v="79"/>
    <n v="12482"/>
    <x v="1"/>
    <n v="158"/>
  </r>
  <r>
    <s v="Fortune Oil 1L"/>
    <x v="1"/>
    <x v="4"/>
    <n v="143"/>
    <n v="153"/>
    <x v="2"/>
    <n v="299"/>
    <n v="45747"/>
    <x v="1"/>
    <n v="153"/>
  </r>
  <r>
    <s v="Parle-G"/>
    <x v="0"/>
    <x v="3"/>
    <n v="71"/>
    <n v="81"/>
    <x v="2"/>
    <n v="61"/>
    <n v="4941"/>
    <x v="0"/>
    <n v="81"/>
  </r>
  <r>
    <s v="Nestle Munch"/>
    <x v="5"/>
    <x v="1"/>
    <n v="151"/>
    <n v="151"/>
    <x v="1"/>
    <n v="219"/>
    <n v="30879"/>
    <x v="0"/>
    <n v="141"/>
  </r>
  <r>
    <s v="Parle-G"/>
    <x v="0"/>
    <x v="1"/>
    <n v="196"/>
    <n v="201"/>
    <x v="1"/>
    <n v="112"/>
    <n v="21392"/>
    <x v="1"/>
    <n v="191"/>
  </r>
  <r>
    <s v="Pepsi 500ml"/>
    <x v="2"/>
    <x v="3"/>
    <n v="160"/>
    <n v="175"/>
    <x v="2"/>
    <n v="56"/>
    <n v="9800"/>
    <x v="1"/>
    <n v="175"/>
  </r>
  <r>
    <s v="Maggi Noodles"/>
    <x v="4"/>
    <x v="3"/>
    <n v="115"/>
    <n v="120"/>
    <x v="2"/>
    <n v="226"/>
    <n v="27120"/>
    <x v="0"/>
    <n v="120"/>
  </r>
  <r>
    <s v="Britannia Cake"/>
    <x v="0"/>
    <x v="2"/>
    <n v="92"/>
    <n v="102"/>
    <x v="1"/>
    <n v="99"/>
    <n v="9108"/>
    <x v="1"/>
    <n v="92"/>
  </r>
  <r>
    <s v="Nestle Munch"/>
    <x v="5"/>
    <x v="5"/>
    <n v="107"/>
    <n v="112"/>
    <x v="0"/>
    <n v="117"/>
    <n v="12519"/>
    <x v="0"/>
    <n v="107"/>
  </r>
  <r>
    <s v="Parle-G"/>
    <x v="0"/>
    <x v="1"/>
    <n v="88"/>
    <n v="98"/>
    <x v="0"/>
    <n v="259"/>
    <n v="24087"/>
    <x v="0"/>
    <n v="93"/>
  </r>
  <r>
    <s v="Pepsi 500ml"/>
    <x v="2"/>
    <x v="1"/>
    <n v="113"/>
    <n v="113"/>
    <x v="2"/>
    <n v="114"/>
    <n v="12882"/>
    <x v="0"/>
    <n v="113"/>
  </r>
  <r>
    <s v="Fortune Oil 1L"/>
    <x v="1"/>
    <x v="4"/>
    <n v="54"/>
    <n v="54"/>
    <x v="0"/>
    <n v="141"/>
    <n v="6909"/>
    <x v="1"/>
    <n v="49"/>
  </r>
  <r>
    <s v="Fortune Oil 1L"/>
    <x v="1"/>
    <x v="4"/>
    <n v="173"/>
    <n v="178"/>
    <x v="1"/>
    <n v="159"/>
    <n v="26712"/>
    <x v="0"/>
    <n v="168"/>
  </r>
  <r>
    <s v="Britannia Cake"/>
    <x v="0"/>
    <x v="3"/>
    <n v="75"/>
    <n v="90"/>
    <x v="1"/>
    <n v="100"/>
    <n v="8000"/>
    <x v="1"/>
    <n v="80"/>
  </r>
  <r>
    <s v="Parle-G"/>
    <x v="0"/>
    <x v="0"/>
    <n v="48"/>
    <n v="58"/>
    <x v="0"/>
    <n v="112"/>
    <n v="5936"/>
    <x v="0"/>
    <n v="53"/>
  </r>
  <r>
    <s v="Oreo Biscuits"/>
    <x v="0"/>
    <x v="5"/>
    <n v="34"/>
    <n v="44"/>
    <x v="2"/>
    <n v="284"/>
    <n v="12496"/>
    <x v="0"/>
    <n v="44"/>
  </r>
  <r>
    <s v="Amul Milk 500ml"/>
    <x v="3"/>
    <x v="2"/>
    <n v="93"/>
    <n v="103"/>
    <x v="1"/>
    <n v="103"/>
    <n v="9579"/>
    <x v="0"/>
    <n v="93"/>
  </r>
  <r>
    <s v="Pepsi 500ml"/>
    <x v="2"/>
    <x v="1"/>
    <n v="55"/>
    <n v="55"/>
    <x v="2"/>
    <n v="271"/>
    <n v="14905"/>
    <x v="0"/>
    <n v="55"/>
  </r>
  <r>
    <s v="Parle-G"/>
    <x v="0"/>
    <x v="4"/>
    <n v="36"/>
    <n v="51"/>
    <x v="1"/>
    <n v="139"/>
    <n v="5699"/>
    <x v="0"/>
    <n v="41"/>
  </r>
  <r>
    <s v="Oreo Biscuits"/>
    <x v="0"/>
    <x v="5"/>
    <n v="41"/>
    <n v="51"/>
    <x v="1"/>
    <n v="123"/>
    <n v="5043"/>
    <x v="1"/>
    <n v="41"/>
  </r>
  <r>
    <s v="Pepsi 500ml"/>
    <x v="2"/>
    <x v="2"/>
    <n v="162"/>
    <n v="172"/>
    <x v="0"/>
    <n v="184"/>
    <n v="30728"/>
    <x v="0"/>
    <n v="167"/>
  </r>
  <r>
    <s v="Pepsi 500ml"/>
    <x v="2"/>
    <x v="1"/>
    <n v="146"/>
    <n v="151"/>
    <x v="2"/>
    <n v="273"/>
    <n v="41223"/>
    <x v="1"/>
    <n v="151"/>
  </r>
  <r>
    <s v="Aashirvaad Atta"/>
    <x v="1"/>
    <x v="1"/>
    <n v="41"/>
    <n v="41"/>
    <x v="1"/>
    <n v="152"/>
    <n v="4712"/>
    <x v="0"/>
    <n v="31"/>
  </r>
  <r>
    <s v="Coca Cola 1L"/>
    <x v="2"/>
    <x v="0"/>
    <n v="74"/>
    <n v="84"/>
    <x v="1"/>
    <n v="197"/>
    <n v="14578"/>
    <x v="0"/>
    <n v="74"/>
  </r>
  <r>
    <s v="Maggi Noodles"/>
    <x v="4"/>
    <x v="0"/>
    <n v="153"/>
    <n v="163"/>
    <x v="0"/>
    <n v="143"/>
    <n v="22594"/>
    <x v="0"/>
    <n v="158"/>
  </r>
  <r>
    <s v="Coca Cola 1L"/>
    <x v="2"/>
    <x v="4"/>
    <n v="147"/>
    <n v="157"/>
    <x v="0"/>
    <n v="133"/>
    <n v="20216"/>
    <x v="1"/>
    <n v="152"/>
  </r>
  <r>
    <s v="Aashirvaad Atta"/>
    <x v="1"/>
    <x v="1"/>
    <n v="67"/>
    <n v="82"/>
    <x v="1"/>
    <n v="192"/>
    <n v="13824"/>
    <x v="0"/>
    <n v="72"/>
  </r>
  <r>
    <s v="Maggi Noodles"/>
    <x v="4"/>
    <x v="1"/>
    <n v="76"/>
    <n v="91"/>
    <x v="2"/>
    <n v="156"/>
    <n v="14196"/>
    <x v="0"/>
    <n v="91"/>
  </r>
  <r>
    <s v="Aashirvaad Atta"/>
    <x v="1"/>
    <x v="4"/>
    <n v="131"/>
    <n v="146"/>
    <x v="0"/>
    <n v="87"/>
    <n v="12267"/>
    <x v="0"/>
    <n v="141"/>
  </r>
  <r>
    <s v="Maggi Noodles"/>
    <x v="4"/>
    <x v="2"/>
    <n v="165"/>
    <n v="165"/>
    <x v="1"/>
    <n v="124"/>
    <n v="19220"/>
    <x v="0"/>
    <n v="155"/>
  </r>
  <r>
    <s v="Fortune Oil 1L"/>
    <x v="1"/>
    <x v="2"/>
    <n v="143"/>
    <n v="148"/>
    <x v="1"/>
    <n v="60"/>
    <n v="8280"/>
    <x v="0"/>
    <n v="138"/>
  </r>
  <r>
    <s v="Aashirvaad Atta"/>
    <x v="1"/>
    <x v="1"/>
    <n v="49"/>
    <n v="49"/>
    <x v="0"/>
    <n v="60"/>
    <n v="2640"/>
    <x v="1"/>
    <n v="44"/>
  </r>
  <r>
    <s v="Nestle Munch"/>
    <x v="5"/>
    <x v="1"/>
    <n v="154"/>
    <n v="159"/>
    <x v="2"/>
    <n v="224"/>
    <n v="35616"/>
    <x v="0"/>
    <n v="159"/>
  </r>
  <r>
    <s v="Coca Cola 1L"/>
    <x v="2"/>
    <x v="1"/>
    <n v="65"/>
    <n v="75"/>
    <x v="0"/>
    <n v="183"/>
    <n v="12810"/>
    <x v="0"/>
    <n v="70"/>
  </r>
  <r>
    <s v="Amul Milk 500ml"/>
    <x v="3"/>
    <x v="0"/>
    <n v="69"/>
    <n v="74"/>
    <x v="2"/>
    <n v="224"/>
    <n v="16576"/>
    <x v="0"/>
    <n v="74"/>
  </r>
  <r>
    <s v="Nestle Munch"/>
    <x v="5"/>
    <x v="4"/>
    <n v="181"/>
    <n v="191"/>
    <x v="0"/>
    <n v="273"/>
    <n v="50778"/>
    <x v="1"/>
    <n v="186"/>
  </r>
  <r>
    <s v="Coca Cola 1L"/>
    <x v="2"/>
    <x v="3"/>
    <n v="30"/>
    <n v="45"/>
    <x v="0"/>
    <n v="262"/>
    <n v="10480"/>
    <x v="1"/>
    <n v="40"/>
  </r>
  <r>
    <s v="Britannia Cake"/>
    <x v="0"/>
    <x v="1"/>
    <n v="149"/>
    <n v="164"/>
    <x v="1"/>
    <n v="80"/>
    <n v="12320"/>
    <x v="1"/>
    <n v="154"/>
  </r>
  <r>
    <s v="Britannia Cake"/>
    <x v="0"/>
    <x v="5"/>
    <n v="177"/>
    <n v="192"/>
    <x v="2"/>
    <n v="253"/>
    <n v="48576"/>
    <x v="0"/>
    <n v="192"/>
  </r>
  <r>
    <s v="Aashirvaad Atta"/>
    <x v="1"/>
    <x v="0"/>
    <n v="76"/>
    <n v="76"/>
    <x v="1"/>
    <n v="240"/>
    <n v="15840"/>
    <x v="0"/>
    <n v="66"/>
  </r>
  <r>
    <s v="Amul Milk 500ml"/>
    <x v="3"/>
    <x v="1"/>
    <n v="169"/>
    <n v="169"/>
    <x v="0"/>
    <n v="270"/>
    <n v="44280"/>
    <x v="0"/>
    <n v="164"/>
  </r>
  <r>
    <s v="Amul Milk 500ml"/>
    <x v="3"/>
    <x v="1"/>
    <n v="166"/>
    <n v="171"/>
    <x v="2"/>
    <n v="130"/>
    <n v="22230"/>
    <x v="0"/>
    <n v="171"/>
  </r>
  <r>
    <s v="Coca Cola 1L"/>
    <x v="2"/>
    <x v="5"/>
    <n v="161"/>
    <n v="161"/>
    <x v="2"/>
    <n v="165"/>
    <n v="26565"/>
    <x v="0"/>
    <n v="161"/>
  </r>
  <r>
    <s v="Aashirvaad Atta"/>
    <x v="1"/>
    <x v="5"/>
    <n v="86"/>
    <n v="101"/>
    <x v="2"/>
    <n v="139"/>
    <n v="14039"/>
    <x v="1"/>
    <n v="101"/>
  </r>
  <r>
    <s v="Maggi Noodles"/>
    <x v="4"/>
    <x v="3"/>
    <n v="138"/>
    <n v="153"/>
    <x v="1"/>
    <n v="213"/>
    <n v="30459"/>
    <x v="0"/>
    <n v="143"/>
  </r>
  <r>
    <s v="Pepsi 500ml"/>
    <x v="2"/>
    <x v="1"/>
    <n v="129"/>
    <n v="139"/>
    <x v="2"/>
    <n v="69"/>
    <n v="9591"/>
    <x v="1"/>
    <n v="139"/>
  </r>
  <r>
    <s v="Amul Milk 500ml"/>
    <x v="3"/>
    <x v="4"/>
    <n v="103"/>
    <n v="118"/>
    <x v="0"/>
    <n v="215"/>
    <n v="24295"/>
    <x v="0"/>
    <n v="113"/>
  </r>
  <r>
    <s v="Maggi Noodles"/>
    <x v="4"/>
    <x v="3"/>
    <n v="43"/>
    <n v="58"/>
    <x v="0"/>
    <n v="137"/>
    <n v="7261"/>
    <x v="1"/>
    <n v="53"/>
  </r>
  <r>
    <s v="Coca Cola 1L"/>
    <x v="2"/>
    <x v="2"/>
    <n v="135"/>
    <n v="140"/>
    <x v="2"/>
    <n v="179"/>
    <n v="25060"/>
    <x v="0"/>
    <n v="140"/>
  </r>
  <r>
    <s v="Maggi Noodles"/>
    <x v="4"/>
    <x v="3"/>
    <n v="167"/>
    <n v="182"/>
    <x v="0"/>
    <n v="180"/>
    <n v="31860"/>
    <x v="1"/>
    <n v="177"/>
  </r>
  <r>
    <s v="Parle-G"/>
    <x v="0"/>
    <x v="1"/>
    <n v="30"/>
    <n v="35"/>
    <x v="1"/>
    <n v="83"/>
    <n v="2075"/>
    <x v="0"/>
    <n v="25"/>
  </r>
  <r>
    <s v="Aashirvaad Atta"/>
    <x v="1"/>
    <x v="2"/>
    <n v="113"/>
    <n v="113"/>
    <x v="0"/>
    <n v="73"/>
    <n v="7884"/>
    <x v="1"/>
    <n v="108"/>
  </r>
  <r>
    <s v="Fortune Oil 1L"/>
    <x v="1"/>
    <x v="5"/>
    <n v="27"/>
    <n v="27"/>
    <x v="2"/>
    <n v="116"/>
    <n v="3132"/>
    <x v="0"/>
    <n v="27"/>
  </r>
  <r>
    <s v="Nestle Munch"/>
    <x v="5"/>
    <x v="3"/>
    <n v="187"/>
    <n v="197"/>
    <x v="1"/>
    <n v="94"/>
    <n v="17578"/>
    <x v="1"/>
    <n v="187"/>
  </r>
  <r>
    <s v="Nestle Munch"/>
    <x v="5"/>
    <x v="4"/>
    <n v="136"/>
    <n v="151"/>
    <x v="0"/>
    <n v="119"/>
    <n v="17374"/>
    <x v="0"/>
    <n v="146"/>
  </r>
  <r>
    <s v="Amul Milk 500ml"/>
    <x v="3"/>
    <x v="5"/>
    <n v="23"/>
    <n v="28"/>
    <x v="1"/>
    <n v="287"/>
    <n v="5166"/>
    <x v="0"/>
    <n v="18"/>
  </r>
  <r>
    <s v="Nestle Munch"/>
    <x v="5"/>
    <x v="2"/>
    <n v="159"/>
    <n v="164"/>
    <x v="2"/>
    <n v="91"/>
    <n v="14924"/>
    <x v="0"/>
    <n v="164"/>
  </r>
  <r>
    <s v="Aashirvaad Atta"/>
    <x v="1"/>
    <x v="3"/>
    <n v="81"/>
    <n v="91"/>
    <x v="0"/>
    <n v="95"/>
    <n v="8170"/>
    <x v="0"/>
    <n v="86"/>
  </r>
  <r>
    <s v="Oreo Biscuits"/>
    <x v="0"/>
    <x v="0"/>
    <n v="97"/>
    <n v="112"/>
    <x v="2"/>
    <n v="147"/>
    <n v="16464"/>
    <x v="0"/>
    <n v="112"/>
  </r>
  <r>
    <s v="Maggi Noodles"/>
    <x v="4"/>
    <x v="4"/>
    <n v="128"/>
    <n v="128"/>
    <x v="0"/>
    <n v="70"/>
    <n v="8610"/>
    <x v="0"/>
    <n v="123"/>
  </r>
  <r>
    <s v="Maggi Noodles"/>
    <x v="4"/>
    <x v="5"/>
    <n v="139"/>
    <n v="139"/>
    <x v="0"/>
    <n v="143"/>
    <n v="19162"/>
    <x v="1"/>
    <n v="134"/>
  </r>
  <r>
    <s v="Britannia Cake"/>
    <x v="0"/>
    <x v="1"/>
    <n v="131"/>
    <n v="141"/>
    <x v="1"/>
    <n v="154"/>
    <n v="20174"/>
    <x v="0"/>
    <n v="131"/>
  </r>
  <r>
    <s v="Oreo Biscuits"/>
    <x v="0"/>
    <x v="4"/>
    <n v="74"/>
    <n v="79"/>
    <x v="2"/>
    <n v="257"/>
    <n v="20303"/>
    <x v="0"/>
    <n v="79"/>
  </r>
  <r>
    <s v="Parle-G"/>
    <x v="0"/>
    <x v="0"/>
    <n v="43"/>
    <n v="43"/>
    <x v="2"/>
    <n v="94"/>
    <n v="4042"/>
    <x v="1"/>
    <n v="43"/>
  </r>
  <r>
    <s v="Oreo Biscuits"/>
    <x v="0"/>
    <x v="1"/>
    <n v="81"/>
    <n v="81"/>
    <x v="2"/>
    <n v="154"/>
    <n v="12474"/>
    <x v="1"/>
    <n v="81"/>
  </r>
  <r>
    <s v="Amul Milk 500ml"/>
    <x v="3"/>
    <x v="5"/>
    <n v="59"/>
    <n v="64"/>
    <x v="1"/>
    <n v="111"/>
    <n v="5994"/>
    <x v="0"/>
    <n v="54"/>
  </r>
  <r>
    <s v="Oreo Biscuits"/>
    <x v="0"/>
    <x v="5"/>
    <n v="76"/>
    <n v="76"/>
    <x v="2"/>
    <n v="238"/>
    <n v="18088"/>
    <x v="0"/>
    <n v="76"/>
  </r>
  <r>
    <s v="Coca Cola 1L"/>
    <x v="2"/>
    <x v="5"/>
    <n v="140"/>
    <n v="155"/>
    <x v="0"/>
    <n v="259"/>
    <n v="38850"/>
    <x v="0"/>
    <n v="150"/>
  </r>
  <r>
    <s v="Parle-G"/>
    <x v="0"/>
    <x v="2"/>
    <n v="63"/>
    <n v="78"/>
    <x v="1"/>
    <n v="106"/>
    <n v="7208"/>
    <x v="0"/>
    <n v="68"/>
  </r>
  <r>
    <s v="Nestle Munch"/>
    <x v="5"/>
    <x v="4"/>
    <n v="181"/>
    <n v="186"/>
    <x v="1"/>
    <n v="108"/>
    <n v="19008"/>
    <x v="0"/>
    <n v="176"/>
  </r>
  <r>
    <s v="Fortune Oil 1L"/>
    <x v="1"/>
    <x v="2"/>
    <n v="129"/>
    <n v="144"/>
    <x v="2"/>
    <n v="204"/>
    <n v="29376"/>
    <x v="0"/>
    <n v="144"/>
  </r>
  <r>
    <s v="Pepsi 500ml"/>
    <x v="2"/>
    <x v="4"/>
    <n v="24"/>
    <n v="29"/>
    <x v="0"/>
    <n v="137"/>
    <n v="3288"/>
    <x v="0"/>
    <n v="24"/>
  </r>
  <r>
    <s v="Coca Cola 1L"/>
    <x v="2"/>
    <x v="0"/>
    <n v="82"/>
    <n v="87"/>
    <x v="0"/>
    <n v="77"/>
    <n v="6314"/>
    <x v="0"/>
    <n v="82"/>
  </r>
  <r>
    <s v="Nestle Munch"/>
    <x v="5"/>
    <x v="5"/>
    <n v="87"/>
    <n v="92"/>
    <x v="1"/>
    <n v="255"/>
    <n v="20910"/>
    <x v="0"/>
    <n v="82"/>
  </r>
  <r>
    <s v="Coca Cola 1L"/>
    <x v="2"/>
    <x v="4"/>
    <n v="174"/>
    <n v="184"/>
    <x v="2"/>
    <n v="129"/>
    <n v="23736"/>
    <x v="0"/>
    <n v="184"/>
  </r>
  <r>
    <s v="Amul Milk 500ml"/>
    <x v="3"/>
    <x v="0"/>
    <n v="63"/>
    <n v="63"/>
    <x v="2"/>
    <n v="178"/>
    <n v="11214"/>
    <x v="0"/>
    <n v="63"/>
  </r>
  <r>
    <s v="Oreo Biscuits"/>
    <x v="0"/>
    <x v="3"/>
    <n v="149"/>
    <n v="159"/>
    <x v="1"/>
    <n v="269"/>
    <n v="40081"/>
    <x v="0"/>
    <n v="149"/>
  </r>
  <r>
    <s v="Nestle Munch"/>
    <x v="5"/>
    <x v="2"/>
    <n v="119"/>
    <n v="119"/>
    <x v="2"/>
    <n v="230"/>
    <n v="27370"/>
    <x v="0"/>
    <n v="119"/>
  </r>
  <r>
    <s v="Britannia Cake"/>
    <x v="0"/>
    <x v="0"/>
    <n v="106"/>
    <n v="116"/>
    <x v="2"/>
    <n v="115"/>
    <n v="13340"/>
    <x v="1"/>
    <n v="116"/>
  </r>
  <r>
    <s v="Coca Cola 1L"/>
    <x v="2"/>
    <x v="2"/>
    <n v="85"/>
    <n v="90"/>
    <x v="0"/>
    <n v="195"/>
    <n v="16575"/>
    <x v="1"/>
    <n v="85"/>
  </r>
  <r>
    <s v="Fortune Oil 1L"/>
    <x v="1"/>
    <x v="4"/>
    <n v="129"/>
    <n v="139"/>
    <x v="2"/>
    <n v="195"/>
    <n v="27105"/>
    <x v="1"/>
    <n v="139"/>
  </r>
  <r>
    <s v="Maggi Noodles"/>
    <x v="4"/>
    <x v="1"/>
    <n v="80"/>
    <n v="85"/>
    <x v="1"/>
    <n v="67"/>
    <n v="5025"/>
    <x v="1"/>
    <n v="75"/>
  </r>
  <r>
    <s v="Parle-G"/>
    <x v="0"/>
    <x v="0"/>
    <n v="184"/>
    <n v="194"/>
    <x v="2"/>
    <n v="271"/>
    <n v="52574"/>
    <x v="1"/>
    <n v="194"/>
  </r>
  <r>
    <s v="Oreo Biscuits"/>
    <x v="0"/>
    <x v="0"/>
    <n v="163"/>
    <n v="178"/>
    <x v="0"/>
    <n v="214"/>
    <n v="37022"/>
    <x v="1"/>
    <n v="173"/>
  </r>
  <r>
    <s v="Coca Cola 1L"/>
    <x v="2"/>
    <x v="0"/>
    <n v="175"/>
    <n v="190"/>
    <x v="0"/>
    <n v="288"/>
    <n v="53280"/>
    <x v="1"/>
    <n v="185"/>
  </r>
  <r>
    <s v="Coca Cola 1L"/>
    <x v="2"/>
    <x v="3"/>
    <n v="72"/>
    <n v="82"/>
    <x v="2"/>
    <n v="105"/>
    <n v="8610"/>
    <x v="0"/>
    <n v="82"/>
  </r>
  <r>
    <s v="Maggi Noodles"/>
    <x v="4"/>
    <x v="4"/>
    <n v="160"/>
    <n v="165"/>
    <x v="2"/>
    <n v="157"/>
    <n v="25905"/>
    <x v="0"/>
    <n v="165"/>
  </r>
  <r>
    <s v="Fortune Oil 1L"/>
    <x v="1"/>
    <x v="4"/>
    <n v="132"/>
    <n v="142"/>
    <x v="0"/>
    <n v="225"/>
    <n v="30825"/>
    <x v="0"/>
    <n v="137"/>
  </r>
  <r>
    <s v="Nestle Munch"/>
    <x v="5"/>
    <x v="2"/>
    <n v="69"/>
    <n v="69"/>
    <x v="1"/>
    <n v="243"/>
    <n v="14337"/>
    <x v="1"/>
    <n v="59"/>
  </r>
  <r>
    <s v="Nestle Munch"/>
    <x v="5"/>
    <x v="0"/>
    <n v="75"/>
    <n v="80"/>
    <x v="1"/>
    <n v="107"/>
    <n v="7490"/>
    <x v="0"/>
    <n v="70"/>
  </r>
  <r>
    <s v="Coca Cola 1L"/>
    <x v="2"/>
    <x v="2"/>
    <n v="180"/>
    <n v="185"/>
    <x v="1"/>
    <n v="226"/>
    <n v="39550"/>
    <x v="1"/>
    <n v="175"/>
  </r>
  <r>
    <s v="Fortune Oil 1L"/>
    <x v="1"/>
    <x v="2"/>
    <n v="147"/>
    <n v="152"/>
    <x v="0"/>
    <n v="105"/>
    <n v="15435"/>
    <x v="1"/>
    <n v="147"/>
  </r>
  <r>
    <s v="Pepsi 500ml"/>
    <x v="2"/>
    <x v="3"/>
    <n v="59"/>
    <n v="64"/>
    <x v="1"/>
    <n v="229"/>
    <n v="12366"/>
    <x v="0"/>
    <n v="54"/>
  </r>
  <r>
    <s v="Aashirvaad Atta"/>
    <x v="1"/>
    <x v="4"/>
    <n v="113"/>
    <n v="128"/>
    <x v="0"/>
    <n v="90"/>
    <n v="11070"/>
    <x v="1"/>
    <n v="123"/>
  </r>
  <r>
    <s v="Maggi Noodles"/>
    <x v="4"/>
    <x v="1"/>
    <n v="40"/>
    <n v="50"/>
    <x v="0"/>
    <n v="104"/>
    <n v="4680"/>
    <x v="0"/>
    <n v="45"/>
  </r>
  <r>
    <s v="Parle-G"/>
    <x v="0"/>
    <x v="4"/>
    <n v="75"/>
    <n v="80"/>
    <x v="1"/>
    <n v="108"/>
    <n v="7560"/>
    <x v="0"/>
    <n v="70"/>
  </r>
  <r>
    <s v="Maggi Noodles"/>
    <x v="4"/>
    <x v="2"/>
    <n v="26"/>
    <n v="36"/>
    <x v="2"/>
    <n v="184"/>
    <n v="6624"/>
    <x v="0"/>
    <n v="36"/>
  </r>
  <r>
    <s v="Aashirvaad Atta"/>
    <x v="1"/>
    <x v="2"/>
    <n v="51"/>
    <n v="61"/>
    <x v="1"/>
    <n v="161"/>
    <n v="8211"/>
    <x v="0"/>
    <n v="51"/>
  </r>
  <r>
    <s v="Parle-G"/>
    <x v="0"/>
    <x v="4"/>
    <n v="101"/>
    <n v="111"/>
    <x v="2"/>
    <n v="85"/>
    <n v="9435"/>
    <x v="1"/>
    <n v="111"/>
  </r>
  <r>
    <s v="Nestle Munch"/>
    <x v="5"/>
    <x v="2"/>
    <n v="175"/>
    <n v="190"/>
    <x v="0"/>
    <n v="80"/>
    <n v="14800"/>
    <x v="0"/>
    <n v="185"/>
  </r>
  <r>
    <s v="Nestle Munch"/>
    <x v="5"/>
    <x v="1"/>
    <n v="21"/>
    <n v="21"/>
    <x v="0"/>
    <n v="87"/>
    <n v="1392"/>
    <x v="0"/>
    <n v="16"/>
  </r>
  <r>
    <s v="Maggi Noodles"/>
    <x v="4"/>
    <x v="0"/>
    <n v="117"/>
    <n v="132"/>
    <x v="2"/>
    <n v="129"/>
    <n v="17028"/>
    <x v="0"/>
    <n v="132"/>
  </r>
  <r>
    <s v="Aashirvaad Atta"/>
    <x v="1"/>
    <x v="1"/>
    <n v="70"/>
    <n v="75"/>
    <x v="2"/>
    <n v="270"/>
    <n v="20250"/>
    <x v="0"/>
    <n v="75"/>
  </r>
  <r>
    <s v="Fortune Oil 1L"/>
    <x v="1"/>
    <x v="4"/>
    <n v="107"/>
    <n v="107"/>
    <x v="1"/>
    <n v="193"/>
    <n v="18721"/>
    <x v="1"/>
    <n v="97"/>
  </r>
  <r>
    <s v="Maggi Noodles"/>
    <x v="4"/>
    <x v="1"/>
    <n v="198"/>
    <n v="213"/>
    <x v="0"/>
    <n v="136"/>
    <n v="28288"/>
    <x v="0"/>
    <n v="208"/>
  </r>
  <r>
    <s v="Parle-G"/>
    <x v="0"/>
    <x v="1"/>
    <n v="161"/>
    <n v="161"/>
    <x v="2"/>
    <n v="188"/>
    <n v="30268"/>
    <x v="0"/>
    <n v="161"/>
  </r>
  <r>
    <s v="Nestle Munch"/>
    <x v="5"/>
    <x v="2"/>
    <n v="137"/>
    <n v="147"/>
    <x v="0"/>
    <n v="211"/>
    <n v="29962"/>
    <x v="0"/>
    <n v="142"/>
  </r>
  <r>
    <s v="Maggi Noodles"/>
    <x v="4"/>
    <x v="2"/>
    <n v="45"/>
    <n v="55"/>
    <x v="1"/>
    <n v="84"/>
    <n v="3780"/>
    <x v="1"/>
    <n v="45"/>
  </r>
  <r>
    <s v="Nestle Munch"/>
    <x v="5"/>
    <x v="4"/>
    <n v="191"/>
    <n v="206"/>
    <x v="1"/>
    <n v="297"/>
    <n v="58212"/>
    <x v="0"/>
    <n v="196"/>
  </r>
  <r>
    <s v="Maggi Noodles"/>
    <x v="4"/>
    <x v="1"/>
    <n v="125"/>
    <n v="130"/>
    <x v="2"/>
    <n v="214"/>
    <n v="27820"/>
    <x v="0"/>
    <n v="130"/>
  </r>
  <r>
    <s v="Amul Milk 500ml"/>
    <x v="3"/>
    <x v="3"/>
    <n v="171"/>
    <n v="186"/>
    <x v="0"/>
    <n v="60"/>
    <n v="10860"/>
    <x v="0"/>
    <n v="181"/>
  </r>
  <r>
    <s v="Fortune Oil 1L"/>
    <x v="1"/>
    <x v="1"/>
    <n v="57"/>
    <n v="72"/>
    <x v="0"/>
    <n v="196"/>
    <n v="13132"/>
    <x v="1"/>
    <n v="67"/>
  </r>
  <r>
    <s v="Parle-G"/>
    <x v="0"/>
    <x v="1"/>
    <n v="56"/>
    <n v="56"/>
    <x v="1"/>
    <n v="251"/>
    <n v="11546"/>
    <x v="0"/>
    <n v="46"/>
  </r>
  <r>
    <s v="Aashirvaad Atta"/>
    <x v="1"/>
    <x v="4"/>
    <n v="70"/>
    <n v="70"/>
    <x v="2"/>
    <n v="218"/>
    <n v="15260"/>
    <x v="0"/>
    <n v="70"/>
  </r>
  <r>
    <s v="Aashirvaad Atta"/>
    <x v="1"/>
    <x v="5"/>
    <n v="57"/>
    <n v="67"/>
    <x v="2"/>
    <n v="131"/>
    <n v="8777"/>
    <x v="1"/>
    <n v="67"/>
  </r>
  <r>
    <s v="Parle-G"/>
    <x v="0"/>
    <x v="2"/>
    <n v="104"/>
    <n v="114"/>
    <x v="0"/>
    <n v="255"/>
    <n v="27795"/>
    <x v="0"/>
    <n v="109"/>
  </r>
  <r>
    <s v="Coca Cola 1L"/>
    <x v="2"/>
    <x v="0"/>
    <n v="82"/>
    <n v="87"/>
    <x v="2"/>
    <n v="180"/>
    <n v="15660"/>
    <x v="0"/>
    <n v="87"/>
  </r>
  <r>
    <s v="Fortune Oil 1L"/>
    <x v="1"/>
    <x v="0"/>
    <n v="119"/>
    <n v="129"/>
    <x v="1"/>
    <n v="164"/>
    <n v="19516"/>
    <x v="0"/>
    <n v="119"/>
  </r>
  <r>
    <s v="Parle-G"/>
    <x v="0"/>
    <x v="0"/>
    <n v="48"/>
    <n v="58"/>
    <x v="1"/>
    <n v="244"/>
    <n v="11712"/>
    <x v="0"/>
    <n v="48"/>
  </r>
  <r>
    <s v="Amul Milk 500ml"/>
    <x v="3"/>
    <x v="5"/>
    <n v="88"/>
    <n v="93"/>
    <x v="0"/>
    <n v="72"/>
    <n v="6336"/>
    <x v="1"/>
    <n v="88"/>
  </r>
  <r>
    <s v="Nestle Munch"/>
    <x v="5"/>
    <x v="1"/>
    <n v="32"/>
    <n v="32"/>
    <x v="2"/>
    <n v="67"/>
    <n v="2144"/>
    <x v="0"/>
    <n v="32"/>
  </r>
  <r>
    <s v="Nestle Munch"/>
    <x v="5"/>
    <x v="5"/>
    <n v="31"/>
    <n v="46"/>
    <x v="1"/>
    <n v="161"/>
    <n v="5796"/>
    <x v="0"/>
    <n v="36"/>
  </r>
  <r>
    <s v="Maggi Noodles"/>
    <x v="4"/>
    <x v="1"/>
    <n v="125"/>
    <n v="140"/>
    <x v="2"/>
    <n v="283"/>
    <n v="39620"/>
    <x v="1"/>
    <n v="140"/>
  </r>
  <r>
    <s v="Parle-G"/>
    <x v="0"/>
    <x v="4"/>
    <n v="134"/>
    <n v="144"/>
    <x v="2"/>
    <n v="190"/>
    <n v="27360"/>
    <x v="1"/>
    <n v="144"/>
  </r>
  <r>
    <s v="Britannia Cake"/>
    <x v="0"/>
    <x v="1"/>
    <n v="198"/>
    <n v="198"/>
    <x v="0"/>
    <n v="52"/>
    <n v="10036"/>
    <x v="1"/>
    <n v="193"/>
  </r>
  <r>
    <s v="Amul Milk 500ml"/>
    <x v="3"/>
    <x v="2"/>
    <n v="131"/>
    <n v="146"/>
    <x v="1"/>
    <n v="146"/>
    <n v="19856"/>
    <x v="0"/>
    <n v="136"/>
  </r>
  <r>
    <s v="Oreo Biscuits"/>
    <x v="0"/>
    <x v="0"/>
    <n v="171"/>
    <n v="176"/>
    <x v="1"/>
    <n v="291"/>
    <n v="48306"/>
    <x v="0"/>
    <n v="166"/>
  </r>
  <r>
    <s v="Amul Milk 500ml"/>
    <x v="3"/>
    <x v="5"/>
    <n v="94"/>
    <n v="99"/>
    <x v="2"/>
    <n v="124"/>
    <n v="12276"/>
    <x v="0"/>
    <n v="99"/>
  </r>
  <r>
    <s v="Parle-G"/>
    <x v="0"/>
    <x v="3"/>
    <n v="129"/>
    <n v="129"/>
    <x v="1"/>
    <n v="272"/>
    <n v="32368"/>
    <x v="0"/>
    <n v="1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3:B10" firstHeaderRow="1" firstDataRow="1" firstDataCol="1"/>
  <pivotFields count="10">
    <pivotField showAll="0"/>
    <pivotField axis="axisRow" showAll="0" sortType="descending">
      <items count="7">
        <item x="2"/>
        <item x="5"/>
        <item x="3"/>
        <item x="1"/>
        <item x="4"/>
        <item x="0"/>
        <item t="default"/>
      </items>
      <autoSortScope>
        <pivotArea dataOnly="0" outline="0" fieldPosition="0">
          <references count="1">
            <reference field="4294967294" count="1" selected="0">
              <x v="0"/>
            </reference>
          </references>
        </pivotArea>
      </autoSortScope>
    </pivotField>
    <pivotField showAll="0">
      <items count="7">
        <item x="4"/>
        <item x="3"/>
        <item x="0"/>
        <item x="2"/>
        <item x="5"/>
        <item x="1"/>
        <item t="default"/>
      </items>
    </pivotField>
    <pivotField showAll="0"/>
    <pivotField showAll="0"/>
    <pivotField showAll="0"/>
    <pivotField showAll="0"/>
    <pivotField dataField="1" showAll="0"/>
    <pivotField showAll="0">
      <items count="3">
        <item x="0"/>
        <item x="1"/>
        <item t="default"/>
      </items>
    </pivotField>
    <pivotField showAll="0"/>
  </pivotFields>
  <rowFields count="1">
    <field x="1"/>
  </rowFields>
  <rowItems count="7">
    <i>
      <x v="5"/>
    </i>
    <i>
      <x/>
    </i>
    <i>
      <x v="3"/>
    </i>
    <i>
      <x v="4"/>
    </i>
    <i>
      <x v="1"/>
    </i>
    <i>
      <x v="2"/>
    </i>
    <i t="grand">
      <x/>
    </i>
  </rowItems>
  <colItems count="1">
    <i/>
  </colItems>
  <dataFields count="1">
    <dataField name="Sum of Revenue" fld="7" baseField="0" baseItem="0" numFmtId="173"/>
  </dataFields>
  <formats count="3">
    <format dxfId="240">
      <pivotArea outline="0" collapsedLevelsAreSubtotals="1" fieldPosition="0"/>
    </format>
    <format dxfId="239">
      <pivotArea outline="0" collapsedLevelsAreSubtotals="1" fieldPosition="0"/>
    </format>
    <format dxfId="238">
      <pivotArea outline="0" collapsedLevelsAreSubtotals="1" fieldPosition="0"/>
    </format>
  </formats>
  <chartFormats count="5">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 count="1" selected="0">
            <x v="0"/>
          </reference>
        </references>
      </pivotArea>
    </chartFormat>
    <chartFormat chart="0" format="9">
      <pivotArea type="data" outline="0" fieldPosition="0">
        <references count="2">
          <reference field="4294967294" count="1" selected="0">
            <x v="0"/>
          </reference>
          <reference field="1" count="1" selected="0">
            <x v="5"/>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10" firstHeaderRow="1" firstDataRow="1" firstDataCol="1"/>
  <pivotFields count="10">
    <pivotField showAll="0"/>
    <pivotField showAll="0">
      <items count="7">
        <item x="2"/>
        <item x="5"/>
        <item x="3"/>
        <item x="1"/>
        <item x="4"/>
        <item x="0"/>
        <item t="default"/>
      </items>
    </pivotField>
    <pivotField axis="axisRow" showAll="0" sortType="descending">
      <items count="7">
        <item x="4"/>
        <item x="3"/>
        <item x="0"/>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3">
        <item x="0"/>
        <item x="1"/>
        <item t="default"/>
      </items>
    </pivotField>
    <pivotField showAll="0"/>
  </pivotFields>
  <rowFields count="1">
    <field x="2"/>
  </rowFields>
  <rowItems count="7">
    <i>
      <x v="3"/>
    </i>
    <i>
      <x/>
    </i>
    <i>
      <x v="5"/>
    </i>
    <i>
      <x v="2"/>
    </i>
    <i>
      <x v="1"/>
    </i>
    <i>
      <x v="4"/>
    </i>
    <i t="grand">
      <x/>
    </i>
  </rowItems>
  <colItems count="1">
    <i/>
  </colItems>
  <dataFields count="1">
    <dataField name="Sum of Revenue" fld="7" baseField="0" baseItem="0" numFmtId="173"/>
  </dataFields>
  <formats count="5">
    <format dxfId="285">
      <pivotArea collapsedLevelsAreSubtotals="1" fieldPosition="0">
        <references count="1">
          <reference field="2" count="1">
            <x v="3"/>
          </reference>
        </references>
      </pivotArea>
    </format>
    <format dxfId="284">
      <pivotArea collapsedLevelsAreSubtotals="1" fieldPosition="0">
        <references count="1">
          <reference field="2" count="1">
            <x v="3"/>
          </reference>
        </references>
      </pivotArea>
    </format>
    <format dxfId="283">
      <pivotArea outline="0" collapsedLevelsAreSubtotals="1" fieldPosition="0"/>
    </format>
    <format dxfId="237">
      <pivotArea outline="0" collapsedLevelsAreSubtotals="1" fieldPosition="0"/>
    </format>
    <format dxfId="23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7" firstHeaderRow="1" firstDataRow="1" firstDataCol="1"/>
  <pivotFields count="10">
    <pivotField showAll="0"/>
    <pivotField showAll="0">
      <items count="7">
        <item x="2"/>
        <item x="5"/>
        <item x="3"/>
        <item x="1"/>
        <item x="4"/>
        <item x="0"/>
        <item t="default"/>
      </items>
    </pivotField>
    <pivotField showAll="0">
      <items count="7">
        <item x="4"/>
        <item x="3"/>
        <item x="0"/>
        <item x="2"/>
        <item x="5"/>
        <item x="1"/>
        <item t="default"/>
      </items>
    </pivotField>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3">
        <item x="0"/>
        <item x="1"/>
        <item t="default"/>
      </items>
    </pivotField>
    <pivotField showAll="0"/>
  </pivotFields>
  <rowFields count="1">
    <field x="5"/>
  </rowFields>
  <rowItems count="4">
    <i>
      <x/>
    </i>
    <i>
      <x v="1"/>
    </i>
    <i>
      <x v="2"/>
    </i>
    <i t="grand">
      <x/>
    </i>
  </rowItems>
  <colItems count="1">
    <i/>
  </colItems>
  <dataFields count="1">
    <dataField name="Average of Orders" fld="6" subtotal="average" baseField="0" baseItem="0"/>
  </dataFields>
  <formats count="27">
    <format dxfId="282">
      <pivotArea collapsedLevelsAreSubtotals="1" fieldPosition="0">
        <references count="1">
          <reference field="5" count="1">
            <x v="0"/>
          </reference>
        </references>
      </pivotArea>
    </format>
    <format dxfId="281">
      <pivotArea collapsedLevelsAreSubtotals="1" fieldPosition="0">
        <references count="1">
          <reference field="5" count="1">
            <x v="0"/>
          </reference>
        </references>
      </pivotArea>
    </format>
    <format dxfId="280">
      <pivotArea collapsedLevelsAreSubtotals="1" fieldPosition="0">
        <references count="1">
          <reference field="5" count="1">
            <x v="0"/>
          </reference>
        </references>
      </pivotArea>
    </format>
    <format dxfId="279">
      <pivotArea collapsedLevelsAreSubtotals="1" fieldPosition="0">
        <references count="1">
          <reference field="5" count="1">
            <x v="0"/>
          </reference>
        </references>
      </pivotArea>
    </format>
    <format dxfId="278">
      <pivotArea collapsedLevelsAreSubtotals="1" fieldPosition="0">
        <references count="1">
          <reference field="5" count="1">
            <x v="0"/>
          </reference>
        </references>
      </pivotArea>
    </format>
    <format dxfId="277">
      <pivotArea collapsedLevelsAreSubtotals="1" fieldPosition="0">
        <references count="1">
          <reference field="5" count="1">
            <x v="0"/>
          </reference>
        </references>
      </pivotArea>
    </format>
    <format dxfId="276">
      <pivotArea collapsedLevelsAreSubtotals="1" fieldPosition="0">
        <references count="1">
          <reference field="5" count="1">
            <x v="0"/>
          </reference>
        </references>
      </pivotArea>
    </format>
    <format dxfId="275">
      <pivotArea collapsedLevelsAreSubtotals="1" fieldPosition="0">
        <references count="1">
          <reference field="5" count="1">
            <x v="0"/>
          </reference>
        </references>
      </pivotArea>
    </format>
    <format dxfId="274">
      <pivotArea collapsedLevelsAreSubtotals="1" fieldPosition="0">
        <references count="1">
          <reference field="5" count="1">
            <x v="1"/>
          </reference>
        </references>
      </pivotArea>
    </format>
    <format dxfId="273">
      <pivotArea collapsedLevelsAreSubtotals="1" fieldPosition="0">
        <references count="1">
          <reference field="5" count="1">
            <x v="1"/>
          </reference>
        </references>
      </pivotArea>
    </format>
    <format dxfId="272">
      <pivotArea collapsedLevelsAreSubtotals="1" fieldPosition="0">
        <references count="1">
          <reference field="5" count="1">
            <x v="1"/>
          </reference>
        </references>
      </pivotArea>
    </format>
    <format dxfId="271">
      <pivotArea collapsedLevelsAreSubtotals="1" fieldPosition="0">
        <references count="1">
          <reference field="5" count="1">
            <x v="1"/>
          </reference>
        </references>
      </pivotArea>
    </format>
    <format dxfId="270">
      <pivotArea collapsedLevelsAreSubtotals="1" fieldPosition="0">
        <references count="1">
          <reference field="5" count="1">
            <x v="1"/>
          </reference>
        </references>
      </pivotArea>
    </format>
    <format dxfId="269">
      <pivotArea collapsedLevelsAreSubtotals="1" fieldPosition="0">
        <references count="1">
          <reference field="5" count="1">
            <x v="1"/>
          </reference>
        </references>
      </pivotArea>
    </format>
    <format dxfId="268">
      <pivotArea collapsedLevelsAreSubtotals="1" fieldPosition="0">
        <references count="1">
          <reference field="5" count="1">
            <x v="1"/>
          </reference>
        </references>
      </pivotArea>
    </format>
    <format dxfId="267">
      <pivotArea collapsedLevelsAreSubtotals="1" fieldPosition="0">
        <references count="1">
          <reference field="5" count="1">
            <x v="1"/>
          </reference>
        </references>
      </pivotArea>
    </format>
    <format dxfId="266">
      <pivotArea collapsedLevelsAreSubtotals="1" fieldPosition="0">
        <references count="1">
          <reference field="5" count="1">
            <x v="2"/>
          </reference>
        </references>
      </pivotArea>
    </format>
    <format dxfId="265">
      <pivotArea collapsedLevelsAreSubtotals="1" fieldPosition="0">
        <references count="1">
          <reference field="5" count="1">
            <x v="2"/>
          </reference>
        </references>
      </pivotArea>
    </format>
    <format dxfId="264">
      <pivotArea collapsedLevelsAreSubtotals="1" fieldPosition="0">
        <references count="1">
          <reference field="5" count="1">
            <x v="2"/>
          </reference>
        </references>
      </pivotArea>
    </format>
    <format dxfId="263">
      <pivotArea collapsedLevelsAreSubtotals="1" fieldPosition="0">
        <references count="1">
          <reference field="5" count="1">
            <x v="2"/>
          </reference>
        </references>
      </pivotArea>
    </format>
    <format dxfId="262">
      <pivotArea collapsedLevelsAreSubtotals="1" fieldPosition="0">
        <references count="1">
          <reference field="5" count="1">
            <x v="2"/>
          </reference>
        </references>
      </pivotArea>
    </format>
    <format dxfId="261">
      <pivotArea grandRow="1" outline="0" collapsedLevelsAreSubtotals="1" fieldPosition="0"/>
    </format>
    <format dxfId="260">
      <pivotArea grandRow="1" outline="0" collapsedLevelsAreSubtotals="1" fieldPosition="0"/>
    </format>
    <format dxfId="259">
      <pivotArea grandRow="1" outline="0" collapsedLevelsAreSubtotals="1" fieldPosition="0"/>
    </format>
    <format dxfId="258">
      <pivotArea grandRow="1" outline="0" collapsedLevelsAreSubtotals="1" fieldPosition="0"/>
    </format>
    <format dxfId="257">
      <pivotArea grandRow="1" outline="0" collapsedLevelsAreSubtotals="1" fieldPosition="0"/>
    </format>
    <format dxfId="256">
      <pivotArea grandRow="1" outline="0" collapsedLevelsAreSubtotals="1" fieldPosition="0"/>
    </format>
  </formats>
  <chartFormats count="3">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C6" firstHeaderRow="0" firstDataRow="1" firstDataCol="1"/>
  <pivotFields count="10">
    <pivotField showAll="0"/>
    <pivotField showAll="0">
      <items count="7">
        <item x="2"/>
        <item x="5"/>
        <item x="3"/>
        <item x="1"/>
        <item x="4"/>
        <item x="0"/>
        <item t="default"/>
      </items>
    </pivotField>
    <pivotField showAll="0">
      <items count="7">
        <item x="4"/>
        <item x="3"/>
        <item x="0"/>
        <item x="2"/>
        <item x="5"/>
        <item x="1"/>
        <item t="default"/>
      </items>
    </pivotField>
    <pivotField showAll="0"/>
    <pivotField showAll="0"/>
    <pivotField showAll="0"/>
    <pivotField dataField="1" showAll="0"/>
    <pivotField dataField="1"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3">
    <i>
      <x/>
    </i>
    <i>
      <x v="1"/>
    </i>
    <i t="grand">
      <x/>
    </i>
  </rowItems>
  <colFields count="1">
    <field x="-2"/>
  </colFields>
  <colItems count="2">
    <i>
      <x/>
    </i>
    <i i="1">
      <x v="1"/>
    </i>
  </colItems>
  <dataFields count="2">
    <dataField name="Sum of Revenue" fld="7" baseField="0" baseItem="0"/>
    <dataField name="Sum of Orders" fld="6" baseField="0" baseItem="0"/>
  </dataFields>
  <formats count="4">
    <format dxfId="255">
      <pivotArea collapsedLevelsAreSubtotals="1" fieldPosition="0">
        <references count="2">
          <reference field="4294967294" count="1" selected="0">
            <x v="0"/>
          </reference>
          <reference field="8" count="1">
            <x v="0"/>
          </reference>
        </references>
      </pivotArea>
    </format>
    <format dxfId="254">
      <pivotArea outline="0" collapsedLevelsAreSubtotals="1" fieldPosition="0"/>
    </format>
    <format dxfId="235">
      <pivotArea outline="0" collapsedLevelsAreSubtotals="1" fieldPosition="0"/>
    </format>
    <format dxfId="234">
      <pivotArea outline="0" collapsedLevelsAreSubtotals="1" fieldPosition="0"/>
    </format>
  </format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2"/>
    <pivotTable tabId="7" name="PivotTable3"/>
    <pivotTable tabId="8" name="PivotTable4"/>
    <pivotTable tabId="9" name="PivotTable5"/>
  </pivotTables>
  <data>
    <tabular pivotCacheId="1">
      <items count="6">
        <i x="2" s="1"/>
        <i x="5" s="1"/>
        <i x="3"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6" name="PivotTable2"/>
    <pivotTable tabId="7" name="PivotTable3"/>
    <pivotTable tabId="8" name="PivotTable4"/>
    <pivotTable tabId="9" name="PivotTable5"/>
  </pivotTables>
  <data>
    <tabular pivotCacheId="1">
      <items count="6">
        <i x="4" s="1"/>
        <i x="3" s="1"/>
        <i x="0"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nfluencer_Active" sourceName="Influencer Active">
  <pivotTables>
    <pivotTable tabId="6" name="PivotTable2"/>
    <pivotTable tabId="7" name="PivotTable3"/>
    <pivotTable tabId="8" name="PivotTable4"/>
    <pivotTable tabId="9" name="PivotTable5"/>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 name="City" cache="Slicer_City" caption="City" rowHeight="234950"/>
  <slicer name="Influencer Active" cache="Slicer_Influencer_Active" caption="Influencer Activ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yle="SlicerStyleDark5" rowHeight="234950"/>
  <slicer name="City 1" cache="Slicer_City" caption="City" style="SlicerStyleDark5" rowHeight="234950"/>
  <slicer name="Influencer Active 1" cache="Slicer_Influencer_Active" caption="Influencer Active" style="SlicerStyleDark5" rowHeight="234950"/>
</slicers>
</file>

<file path=xl/tables/table1.xml><?xml version="1.0" encoding="utf-8"?>
<table xmlns="http://schemas.openxmlformats.org/spreadsheetml/2006/main" id="2" name="ZeptoSales" displayName="ZeptoSales" ref="A1:J301" totalsRowShown="0" headerRowDxfId="253" dataDxfId="252" tableBorderDxfId="251">
  <autoFilter ref="A1:J301"/>
  <tableColumns count="10">
    <tableColumn id="1" name="Product Name" dataDxfId="250"/>
    <tableColumn id="2" name="Category" dataDxfId="249"/>
    <tableColumn id="3" name="City" dataDxfId="248"/>
    <tableColumn id="4" name="Original Price" dataDxfId="247"/>
    <tableColumn id="5" name="Current Price" dataDxfId="246"/>
    <tableColumn id="6" name="Discount" dataDxfId="245"/>
    <tableColumn id="7" name="Orders" dataDxfId="244"/>
    <tableColumn id="8" name="Revenue" dataDxfId="243"/>
    <tableColumn id="9" name="Influencer Active" dataDxfId="242"/>
    <tableColumn id="10" name="Revenue per Order" dataDxfId="241">
      <calculatedColumnFormula>H2/G2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4" sqref="B4:B10"/>
    </sheetView>
  </sheetViews>
  <sheetFormatPr defaultRowHeight="14.4" x14ac:dyDescent="0.3"/>
  <cols>
    <col min="1" max="1" width="12.5546875" bestFit="1" customWidth="1"/>
    <col min="2" max="2" width="14.88671875" bestFit="1" customWidth="1"/>
  </cols>
  <sheetData>
    <row r="3" spans="1:2" x14ac:dyDescent="0.3">
      <c r="A3" s="4" t="s">
        <v>38</v>
      </c>
      <c r="B3" t="s">
        <v>40</v>
      </c>
    </row>
    <row r="4" spans="1:2" x14ac:dyDescent="0.3">
      <c r="A4" s="5" t="s">
        <v>10</v>
      </c>
      <c r="B4" s="8">
        <v>1712447</v>
      </c>
    </row>
    <row r="5" spans="1:2" x14ac:dyDescent="0.3">
      <c r="A5" s="5" t="s">
        <v>19</v>
      </c>
      <c r="B5" s="8">
        <v>1227002</v>
      </c>
    </row>
    <row r="6" spans="1:2" x14ac:dyDescent="0.3">
      <c r="A6" s="5" t="s">
        <v>16</v>
      </c>
      <c r="B6" s="8">
        <v>955353</v>
      </c>
    </row>
    <row r="7" spans="1:2" x14ac:dyDescent="0.3">
      <c r="A7" s="5" t="s">
        <v>27</v>
      </c>
      <c r="B7" s="8">
        <v>661477</v>
      </c>
    </row>
    <row r="8" spans="1:2" x14ac:dyDescent="0.3">
      <c r="A8" s="5" t="s">
        <v>32</v>
      </c>
      <c r="B8" s="8">
        <v>647424</v>
      </c>
    </row>
    <row r="9" spans="1:2" x14ac:dyDescent="0.3">
      <c r="A9" s="5" t="s">
        <v>23</v>
      </c>
      <c r="B9" s="8">
        <v>579648</v>
      </c>
    </row>
    <row r="10" spans="1:2" x14ac:dyDescent="0.3">
      <c r="A10" s="5" t="s">
        <v>39</v>
      </c>
      <c r="B10" s="8">
        <v>5783351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4" sqref="B4:B10"/>
    </sheetView>
  </sheetViews>
  <sheetFormatPr defaultRowHeight="14.4" x14ac:dyDescent="0.3"/>
  <cols>
    <col min="1" max="1" width="12.5546875" bestFit="1" customWidth="1"/>
    <col min="2" max="2" width="14.88671875" bestFit="1" customWidth="1"/>
  </cols>
  <sheetData>
    <row r="3" spans="1:2" x14ac:dyDescent="0.3">
      <c r="A3" s="4" t="s">
        <v>38</v>
      </c>
      <c r="B3" t="s">
        <v>40</v>
      </c>
    </row>
    <row r="4" spans="1:2" x14ac:dyDescent="0.3">
      <c r="A4" s="5" t="s">
        <v>17</v>
      </c>
      <c r="B4" s="8">
        <v>1250930</v>
      </c>
    </row>
    <row r="5" spans="1:2" x14ac:dyDescent="0.3">
      <c r="A5" s="5" t="s">
        <v>24</v>
      </c>
      <c r="B5" s="8">
        <v>1019724</v>
      </c>
    </row>
    <row r="6" spans="1:2" x14ac:dyDescent="0.3">
      <c r="A6" s="5" t="s">
        <v>13</v>
      </c>
      <c r="B6" s="8">
        <v>993838</v>
      </c>
    </row>
    <row r="7" spans="1:2" x14ac:dyDescent="0.3">
      <c r="A7" s="5" t="s">
        <v>11</v>
      </c>
      <c r="B7" s="8">
        <v>884943</v>
      </c>
    </row>
    <row r="8" spans="1:2" x14ac:dyDescent="0.3">
      <c r="A8" s="5" t="s">
        <v>21</v>
      </c>
      <c r="B8" s="8">
        <v>834726</v>
      </c>
    </row>
    <row r="9" spans="1:2" x14ac:dyDescent="0.3">
      <c r="A9" s="5" t="s">
        <v>25</v>
      </c>
      <c r="B9" s="8">
        <v>799190</v>
      </c>
    </row>
    <row r="10" spans="1:2" x14ac:dyDescent="0.3">
      <c r="A10" s="5" t="s">
        <v>39</v>
      </c>
      <c r="B10" s="8">
        <v>5783351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P22" sqref="P22"/>
    </sheetView>
  </sheetViews>
  <sheetFormatPr defaultRowHeight="14.4" x14ac:dyDescent="0.3"/>
  <cols>
    <col min="1" max="1" width="12.5546875" bestFit="1" customWidth="1"/>
    <col min="2" max="2" width="16.21875" bestFit="1" customWidth="1"/>
  </cols>
  <sheetData>
    <row r="3" spans="1:2" x14ac:dyDescent="0.3">
      <c r="A3" s="4" t="s">
        <v>38</v>
      </c>
      <c r="B3" t="s">
        <v>42</v>
      </c>
    </row>
    <row r="4" spans="1:2" x14ac:dyDescent="0.3">
      <c r="A4" s="5">
        <v>0</v>
      </c>
      <c r="B4" s="6">
        <v>171.92523364485982</v>
      </c>
    </row>
    <row r="5" spans="1:2" x14ac:dyDescent="0.3">
      <c r="A5" s="5">
        <v>5</v>
      </c>
      <c r="B5" s="6">
        <v>166.41758241758242</v>
      </c>
    </row>
    <row r="6" spans="1:2" x14ac:dyDescent="0.3">
      <c r="A6" s="5">
        <v>10</v>
      </c>
      <c r="B6" s="6">
        <v>165.74509803921569</v>
      </c>
    </row>
    <row r="7" spans="1:2" x14ac:dyDescent="0.3">
      <c r="A7" s="5" t="s">
        <v>39</v>
      </c>
      <c r="B7" s="6">
        <v>168.15333333333334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B4" sqref="B4:C6"/>
    </sheetView>
  </sheetViews>
  <sheetFormatPr defaultRowHeight="14.4" x14ac:dyDescent="0.3"/>
  <cols>
    <col min="1" max="1" width="12.5546875" bestFit="1" customWidth="1"/>
    <col min="2" max="2" width="14.88671875" bestFit="1" customWidth="1"/>
    <col min="3" max="3" width="13.109375" bestFit="1" customWidth="1"/>
  </cols>
  <sheetData>
    <row r="3" spans="1:3" x14ac:dyDescent="0.3">
      <c r="A3" s="4" t="s">
        <v>38</v>
      </c>
      <c r="B3" t="s">
        <v>40</v>
      </c>
      <c r="C3" t="s">
        <v>41</v>
      </c>
    </row>
    <row r="4" spans="1:3" x14ac:dyDescent="0.3">
      <c r="A4" s="5" t="s">
        <v>12</v>
      </c>
      <c r="B4" s="8">
        <v>4118879</v>
      </c>
      <c r="C4" s="8">
        <v>36212</v>
      </c>
    </row>
    <row r="5" spans="1:3" x14ac:dyDescent="0.3">
      <c r="A5" s="5" t="s">
        <v>14</v>
      </c>
      <c r="B5" s="8">
        <v>1664472</v>
      </c>
      <c r="C5" s="8">
        <v>14234</v>
      </c>
    </row>
    <row r="6" spans="1:3" x14ac:dyDescent="0.3">
      <c r="A6" s="5" t="s">
        <v>39</v>
      </c>
      <c r="B6" s="8">
        <v>5783351</v>
      </c>
      <c r="C6" s="8">
        <v>50446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Views>
    <sheetView topLeftCell="A2" workbookViewId="0">
      <selection activeCell="B3" sqref="B3"/>
    </sheetView>
  </sheetViews>
  <sheetFormatPr defaultRowHeight="14.4" x14ac:dyDescent="0.3"/>
  <cols>
    <col min="1" max="1" width="15" customWidth="1"/>
    <col min="2" max="2" width="10.44140625" customWidth="1"/>
    <col min="4" max="4" width="13.88671875" customWidth="1"/>
    <col min="5" max="5" width="13.77734375" customWidth="1"/>
    <col min="6" max="6" width="10.21875" customWidth="1"/>
    <col min="8" max="8" width="10.21875" customWidth="1"/>
    <col min="9" max="9" width="17.109375" customWidth="1"/>
    <col min="10" max="10" width="18.6640625" customWidth="1"/>
  </cols>
  <sheetData>
    <row r="1" spans="1:10" x14ac:dyDescent="0.3">
      <c r="A1" s="3" t="s">
        <v>0</v>
      </c>
      <c r="B1" s="3" t="s">
        <v>1</v>
      </c>
      <c r="C1" s="3" t="s">
        <v>2</v>
      </c>
      <c r="D1" s="3" t="s">
        <v>3</v>
      </c>
      <c r="E1" s="3" t="s">
        <v>4</v>
      </c>
      <c r="F1" s="3" t="s">
        <v>5</v>
      </c>
      <c r="G1" s="3" t="s">
        <v>6</v>
      </c>
      <c r="H1" s="3" t="s">
        <v>33</v>
      </c>
      <c r="I1" s="3" t="s">
        <v>8</v>
      </c>
      <c r="J1" s="3" t="s">
        <v>34</v>
      </c>
    </row>
    <row r="2" spans="1:10" x14ac:dyDescent="0.3">
      <c r="A2" s="1" t="s">
        <v>9</v>
      </c>
      <c r="B2" s="1" t="s">
        <v>10</v>
      </c>
      <c r="C2" s="1" t="s">
        <v>11</v>
      </c>
      <c r="D2" s="1">
        <v>148</v>
      </c>
      <c r="E2" s="1">
        <v>163</v>
      </c>
      <c r="F2" s="1">
        <v>5</v>
      </c>
      <c r="G2" s="1">
        <v>283</v>
      </c>
      <c r="H2" s="1">
        <v>44714</v>
      </c>
      <c r="I2" s="1" t="s">
        <v>12</v>
      </c>
      <c r="J2" s="1">
        <f>H2/G2</f>
        <v>158</v>
      </c>
    </row>
    <row r="3" spans="1:10" x14ac:dyDescent="0.3">
      <c r="A3" s="2" t="s">
        <v>9</v>
      </c>
      <c r="B3" s="2" t="s">
        <v>10</v>
      </c>
      <c r="C3" s="2" t="s">
        <v>13</v>
      </c>
      <c r="D3" s="2">
        <v>81</v>
      </c>
      <c r="E3" s="2">
        <v>86</v>
      </c>
      <c r="F3" s="2">
        <v>10</v>
      </c>
      <c r="G3" s="2">
        <v>284</v>
      </c>
      <c r="H3" s="2">
        <v>21584</v>
      </c>
      <c r="I3" s="2" t="s">
        <v>14</v>
      </c>
      <c r="J3" s="2">
        <f t="shared" ref="J3:J66" si="0">H3/G3</f>
        <v>76</v>
      </c>
    </row>
    <row r="4" spans="1:10" x14ac:dyDescent="0.3">
      <c r="A4" s="1" t="s">
        <v>15</v>
      </c>
      <c r="B4" s="1" t="s">
        <v>16</v>
      </c>
      <c r="C4" s="1" t="s">
        <v>17</v>
      </c>
      <c r="D4" s="1">
        <v>138</v>
      </c>
      <c r="E4" s="1">
        <v>143</v>
      </c>
      <c r="F4" s="1">
        <v>10</v>
      </c>
      <c r="G4" s="1">
        <v>69</v>
      </c>
      <c r="H4" s="1">
        <v>9177</v>
      </c>
      <c r="I4" s="1" t="s">
        <v>12</v>
      </c>
      <c r="J4" s="1">
        <f t="shared" si="0"/>
        <v>133</v>
      </c>
    </row>
    <row r="5" spans="1:10" x14ac:dyDescent="0.3">
      <c r="A5" s="2" t="s">
        <v>18</v>
      </c>
      <c r="B5" s="2" t="s">
        <v>19</v>
      </c>
      <c r="C5" s="2" t="s">
        <v>11</v>
      </c>
      <c r="D5" s="2">
        <v>127</v>
      </c>
      <c r="E5" s="2">
        <v>127</v>
      </c>
      <c r="F5" s="2">
        <v>10</v>
      </c>
      <c r="G5" s="2">
        <v>83</v>
      </c>
      <c r="H5" s="2">
        <v>9711</v>
      </c>
      <c r="I5" s="2" t="s">
        <v>12</v>
      </c>
      <c r="J5" s="2">
        <f t="shared" si="0"/>
        <v>117</v>
      </c>
    </row>
    <row r="6" spans="1:10" x14ac:dyDescent="0.3">
      <c r="A6" s="1" t="s">
        <v>20</v>
      </c>
      <c r="B6" s="1" t="s">
        <v>16</v>
      </c>
      <c r="C6" s="1" t="s">
        <v>21</v>
      </c>
      <c r="D6" s="1">
        <v>34</v>
      </c>
      <c r="E6" s="1">
        <v>49</v>
      </c>
      <c r="F6" s="1">
        <v>10</v>
      </c>
      <c r="G6" s="1">
        <v>169</v>
      </c>
      <c r="H6" s="1">
        <v>6591</v>
      </c>
      <c r="I6" s="1" t="s">
        <v>14</v>
      </c>
      <c r="J6" s="1">
        <f t="shared" si="0"/>
        <v>39</v>
      </c>
    </row>
    <row r="7" spans="1:10" x14ac:dyDescent="0.3">
      <c r="A7" s="2" t="s">
        <v>22</v>
      </c>
      <c r="B7" s="2" t="s">
        <v>23</v>
      </c>
      <c r="C7" s="2" t="s">
        <v>11</v>
      </c>
      <c r="D7" s="2">
        <v>149</v>
      </c>
      <c r="E7" s="2">
        <v>159</v>
      </c>
      <c r="F7" s="2">
        <v>0</v>
      </c>
      <c r="G7" s="2">
        <v>246</v>
      </c>
      <c r="H7" s="2">
        <v>39114</v>
      </c>
      <c r="I7" s="2" t="s">
        <v>12</v>
      </c>
      <c r="J7" s="2">
        <f t="shared" si="0"/>
        <v>159</v>
      </c>
    </row>
    <row r="8" spans="1:10" x14ac:dyDescent="0.3">
      <c r="A8" s="1" t="s">
        <v>9</v>
      </c>
      <c r="B8" s="1" t="s">
        <v>10</v>
      </c>
      <c r="C8" s="1" t="s">
        <v>24</v>
      </c>
      <c r="D8" s="1">
        <v>82</v>
      </c>
      <c r="E8" s="1">
        <v>87</v>
      </c>
      <c r="F8" s="1">
        <v>0</v>
      </c>
      <c r="G8" s="1">
        <v>254</v>
      </c>
      <c r="H8" s="1">
        <v>22098</v>
      </c>
      <c r="I8" s="1" t="s">
        <v>14</v>
      </c>
      <c r="J8" s="1">
        <f t="shared" si="0"/>
        <v>87</v>
      </c>
    </row>
    <row r="9" spans="1:10" x14ac:dyDescent="0.3">
      <c r="A9" s="2" t="s">
        <v>22</v>
      </c>
      <c r="B9" s="2" t="s">
        <v>23</v>
      </c>
      <c r="C9" s="2" t="s">
        <v>24</v>
      </c>
      <c r="D9" s="2">
        <v>46</v>
      </c>
      <c r="E9" s="2">
        <v>51</v>
      </c>
      <c r="F9" s="2">
        <v>5</v>
      </c>
      <c r="G9" s="2">
        <v>179</v>
      </c>
      <c r="H9" s="2">
        <v>8234</v>
      </c>
      <c r="I9" s="2" t="s">
        <v>12</v>
      </c>
      <c r="J9" s="2">
        <f t="shared" si="0"/>
        <v>46</v>
      </c>
    </row>
    <row r="10" spans="1:10" x14ac:dyDescent="0.3">
      <c r="A10" s="1" t="s">
        <v>20</v>
      </c>
      <c r="B10" s="1" t="s">
        <v>16</v>
      </c>
      <c r="C10" s="1" t="s">
        <v>25</v>
      </c>
      <c r="D10" s="1">
        <v>137</v>
      </c>
      <c r="E10" s="1">
        <v>137</v>
      </c>
      <c r="F10" s="1">
        <v>10</v>
      </c>
      <c r="G10" s="1">
        <v>268</v>
      </c>
      <c r="H10" s="1">
        <v>34036</v>
      </c>
      <c r="I10" s="1" t="s">
        <v>12</v>
      </c>
      <c r="J10" s="1">
        <f t="shared" si="0"/>
        <v>127</v>
      </c>
    </row>
    <row r="11" spans="1:10" x14ac:dyDescent="0.3">
      <c r="A11" s="2" t="s">
        <v>26</v>
      </c>
      <c r="B11" s="2" t="s">
        <v>27</v>
      </c>
      <c r="C11" s="2" t="s">
        <v>17</v>
      </c>
      <c r="D11" s="2">
        <v>196</v>
      </c>
      <c r="E11" s="2">
        <v>201</v>
      </c>
      <c r="F11" s="2">
        <v>0</v>
      </c>
      <c r="G11" s="2">
        <v>59</v>
      </c>
      <c r="H11" s="2">
        <v>11859</v>
      </c>
      <c r="I11" s="2" t="s">
        <v>14</v>
      </c>
      <c r="J11" s="2">
        <f t="shared" si="0"/>
        <v>201</v>
      </c>
    </row>
    <row r="12" spans="1:10" x14ac:dyDescent="0.3">
      <c r="A12" s="1" t="s">
        <v>26</v>
      </c>
      <c r="B12" s="1" t="s">
        <v>27</v>
      </c>
      <c r="C12" s="1" t="s">
        <v>17</v>
      </c>
      <c r="D12" s="1">
        <v>109</v>
      </c>
      <c r="E12" s="1">
        <v>114</v>
      </c>
      <c r="F12" s="1">
        <v>0</v>
      </c>
      <c r="G12" s="1">
        <v>241</v>
      </c>
      <c r="H12" s="1">
        <v>27474</v>
      </c>
      <c r="I12" s="1" t="s">
        <v>12</v>
      </c>
      <c r="J12" s="1">
        <f t="shared" si="0"/>
        <v>114</v>
      </c>
    </row>
    <row r="13" spans="1:10" x14ac:dyDescent="0.3">
      <c r="A13" s="2" t="s">
        <v>26</v>
      </c>
      <c r="B13" s="2" t="s">
        <v>27</v>
      </c>
      <c r="C13" s="2" t="s">
        <v>25</v>
      </c>
      <c r="D13" s="2">
        <v>28</v>
      </c>
      <c r="E13" s="2">
        <v>28</v>
      </c>
      <c r="F13" s="2">
        <v>5</v>
      </c>
      <c r="G13" s="2">
        <v>281</v>
      </c>
      <c r="H13" s="2">
        <v>6463</v>
      </c>
      <c r="I13" s="2" t="s">
        <v>12</v>
      </c>
      <c r="J13" s="2">
        <f t="shared" si="0"/>
        <v>23</v>
      </c>
    </row>
    <row r="14" spans="1:10" x14ac:dyDescent="0.3">
      <c r="A14" s="1" t="s">
        <v>26</v>
      </c>
      <c r="B14" s="1" t="s">
        <v>27</v>
      </c>
      <c r="C14" s="1" t="s">
        <v>13</v>
      </c>
      <c r="D14" s="1">
        <v>130</v>
      </c>
      <c r="E14" s="1">
        <v>135</v>
      </c>
      <c r="F14" s="1">
        <v>0</v>
      </c>
      <c r="G14" s="1">
        <v>76</v>
      </c>
      <c r="H14" s="1">
        <v>10260</v>
      </c>
      <c r="I14" s="1" t="s">
        <v>12</v>
      </c>
      <c r="J14" s="1">
        <f t="shared" si="0"/>
        <v>135</v>
      </c>
    </row>
    <row r="15" spans="1:10" x14ac:dyDescent="0.3">
      <c r="A15" s="2" t="s">
        <v>28</v>
      </c>
      <c r="B15" s="2" t="s">
        <v>10</v>
      </c>
      <c r="C15" s="2" t="s">
        <v>24</v>
      </c>
      <c r="D15" s="2">
        <v>125</v>
      </c>
      <c r="E15" s="2">
        <v>125</v>
      </c>
      <c r="F15" s="2">
        <v>5</v>
      </c>
      <c r="G15" s="2">
        <v>155</v>
      </c>
      <c r="H15" s="2">
        <v>18600</v>
      </c>
      <c r="I15" s="2" t="s">
        <v>12</v>
      </c>
      <c r="J15" s="2">
        <f t="shared" si="0"/>
        <v>120</v>
      </c>
    </row>
    <row r="16" spans="1:10" x14ac:dyDescent="0.3">
      <c r="A16" s="1" t="s">
        <v>20</v>
      </c>
      <c r="B16" s="1" t="s">
        <v>16</v>
      </c>
      <c r="C16" s="1" t="s">
        <v>11</v>
      </c>
      <c r="D16" s="1">
        <v>56</v>
      </c>
      <c r="E16" s="1">
        <v>66</v>
      </c>
      <c r="F16" s="1">
        <v>0</v>
      </c>
      <c r="G16" s="1">
        <v>89</v>
      </c>
      <c r="H16" s="1">
        <v>5874</v>
      </c>
      <c r="I16" s="1" t="s">
        <v>12</v>
      </c>
      <c r="J16" s="1">
        <f t="shared" si="0"/>
        <v>66</v>
      </c>
    </row>
    <row r="17" spans="1:10" x14ac:dyDescent="0.3">
      <c r="A17" s="2" t="s">
        <v>29</v>
      </c>
      <c r="B17" s="2" t="s">
        <v>19</v>
      </c>
      <c r="C17" s="2" t="s">
        <v>13</v>
      </c>
      <c r="D17" s="2">
        <v>50</v>
      </c>
      <c r="E17" s="2">
        <v>50</v>
      </c>
      <c r="F17" s="2">
        <v>10</v>
      </c>
      <c r="G17" s="2">
        <v>118</v>
      </c>
      <c r="H17" s="2">
        <v>4720</v>
      </c>
      <c r="I17" s="2" t="s">
        <v>14</v>
      </c>
      <c r="J17" s="2">
        <f t="shared" si="0"/>
        <v>40</v>
      </c>
    </row>
    <row r="18" spans="1:10" x14ac:dyDescent="0.3">
      <c r="A18" s="1" t="s">
        <v>9</v>
      </c>
      <c r="B18" s="1" t="s">
        <v>10</v>
      </c>
      <c r="C18" s="1" t="s">
        <v>11</v>
      </c>
      <c r="D18" s="1">
        <v>80</v>
      </c>
      <c r="E18" s="1">
        <v>85</v>
      </c>
      <c r="F18" s="1">
        <v>5</v>
      </c>
      <c r="G18" s="1">
        <v>232</v>
      </c>
      <c r="H18" s="1">
        <v>18560</v>
      </c>
      <c r="I18" s="1" t="s">
        <v>12</v>
      </c>
      <c r="J18" s="1">
        <f t="shared" si="0"/>
        <v>80</v>
      </c>
    </row>
    <row r="19" spans="1:10" x14ac:dyDescent="0.3">
      <c r="A19" s="2" t="s">
        <v>18</v>
      </c>
      <c r="B19" s="2" t="s">
        <v>19</v>
      </c>
      <c r="C19" s="2" t="s">
        <v>24</v>
      </c>
      <c r="D19" s="2">
        <v>164</v>
      </c>
      <c r="E19" s="2">
        <v>174</v>
      </c>
      <c r="F19" s="2">
        <v>0</v>
      </c>
      <c r="G19" s="2">
        <v>100</v>
      </c>
      <c r="H19" s="2">
        <v>17400</v>
      </c>
      <c r="I19" s="2" t="s">
        <v>14</v>
      </c>
      <c r="J19" s="2">
        <f t="shared" si="0"/>
        <v>174</v>
      </c>
    </row>
    <row r="20" spans="1:10" x14ac:dyDescent="0.3">
      <c r="A20" s="1" t="s">
        <v>30</v>
      </c>
      <c r="B20" s="1" t="s">
        <v>10</v>
      </c>
      <c r="C20" s="1" t="s">
        <v>21</v>
      </c>
      <c r="D20" s="1">
        <v>102</v>
      </c>
      <c r="E20" s="1">
        <v>107</v>
      </c>
      <c r="F20" s="1">
        <v>10</v>
      </c>
      <c r="G20" s="1">
        <v>254</v>
      </c>
      <c r="H20" s="1">
        <v>24638</v>
      </c>
      <c r="I20" s="1" t="s">
        <v>12</v>
      </c>
      <c r="J20" s="1">
        <f t="shared" si="0"/>
        <v>97</v>
      </c>
    </row>
    <row r="21" spans="1:10" x14ac:dyDescent="0.3">
      <c r="A21" s="2" t="s">
        <v>31</v>
      </c>
      <c r="B21" s="2" t="s">
        <v>32</v>
      </c>
      <c r="C21" s="2" t="s">
        <v>25</v>
      </c>
      <c r="D21" s="2">
        <v>195</v>
      </c>
      <c r="E21" s="2">
        <v>205</v>
      </c>
      <c r="F21" s="2">
        <v>0</v>
      </c>
      <c r="G21" s="2">
        <v>223</v>
      </c>
      <c r="H21" s="2">
        <v>45715</v>
      </c>
      <c r="I21" s="2" t="s">
        <v>12</v>
      </c>
      <c r="J21" s="2">
        <f t="shared" si="0"/>
        <v>205</v>
      </c>
    </row>
    <row r="22" spans="1:10" x14ac:dyDescent="0.3">
      <c r="A22" s="1" t="s">
        <v>18</v>
      </c>
      <c r="B22" s="1" t="s">
        <v>19</v>
      </c>
      <c r="C22" s="1" t="s">
        <v>17</v>
      </c>
      <c r="D22" s="1">
        <v>154</v>
      </c>
      <c r="E22" s="1">
        <v>159</v>
      </c>
      <c r="F22" s="1">
        <v>5</v>
      </c>
      <c r="G22" s="1">
        <v>253</v>
      </c>
      <c r="H22" s="1">
        <v>38962</v>
      </c>
      <c r="I22" s="1" t="s">
        <v>12</v>
      </c>
      <c r="J22" s="1">
        <f t="shared" si="0"/>
        <v>154</v>
      </c>
    </row>
    <row r="23" spans="1:10" x14ac:dyDescent="0.3">
      <c r="A23" s="2" t="s">
        <v>22</v>
      </c>
      <c r="B23" s="2" t="s">
        <v>23</v>
      </c>
      <c r="C23" s="2" t="s">
        <v>13</v>
      </c>
      <c r="D23" s="2">
        <v>120</v>
      </c>
      <c r="E23" s="2">
        <v>135</v>
      </c>
      <c r="F23" s="2">
        <v>0</v>
      </c>
      <c r="G23" s="2">
        <v>291</v>
      </c>
      <c r="H23" s="2">
        <v>39285</v>
      </c>
      <c r="I23" s="2" t="s">
        <v>14</v>
      </c>
      <c r="J23" s="2">
        <f t="shared" si="0"/>
        <v>135</v>
      </c>
    </row>
    <row r="24" spans="1:10" x14ac:dyDescent="0.3">
      <c r="A24" s="1" t="s">
        <v>30</v>
      </c>
      <c r="B24" s="1" t="s">
        <v>10</v>
      </c>
      <c r="C24" s="1" t="s">
        <v>21</v>
      </c>
      <c r="D24" s="1">
        <v>144</v>
      </c>
      <c r="E24" s="1">
        <v>144</v>
      </c>
      <c r="F24" s="1">
        <v>5</v>
      </c>
      <c r="G24" s="1">
        <v>186</v>
      </c>
      <c r="H24" s="1">
        <v>25854</v>
      </c>
      <c r="I24" s="1" t="s">
        <v>14</v>
      </c>
      <c r="J24" s="1">
        <f t="shared" si="0"/>
        <v>139</v>
      </c>
    </row>
    <row r="25" spans="1:10" x14ac:dyDescent="0.3">
      <c r="A25" s="2" t="s">
        <v>26</v>
      </c>
      <c r="B25" s="2" t="s">
        <v>27</v>
      </c>
      <c r="C25" s="2" t="s">
        <v>25</v>
      </c>
      <c r="D25" s="2">
        <v>118</v>
      </c>
      <c r="E25" s="2">
        <v>123</v>
      </c>
      <c r="F25" s="2">
        <v>5</v>
      </c>
      <c r="G25" s="2">
        <v>124</v>
      </c>
      <c r="H25" s="2">
        <v>14632</v>
      </c>
      <c r="I25" s="2" t="s">
        <v>12</v>
      </c>
      <c r="J25" s="2">
        <f t="shared" si="0"/>
        <v>118</v>
      </c>
    </row>
    <row r="26" spans="1:10" x14ac:dyDescent="0.3">
      <c r="A26" s="1" t="s">
        <v>18</v>
      </c>
      <c r="B26" s="1" t="s">
        <v>19</v>
      </c>
      <c r="C26" s="1" t="s">
        <v>17</v>
      </c>
      <c r="D26" s="1">
        <v>41</v>
      </c>
      <c r="E26" s="1">
        <v>51</v>
      </c>
      <c r="F26" s="1">
        <v>10</v>
      </c>
      <c r="G26" s="1">
        <v>53</v>
      </c>
      <c r="H26" s="1">
        <v>2173</v>
      </c>
      <c r="I26" s="1" t="s">
        <v>14</v>
      </c>
      <c r="J26" s="1">
        <f t="shared" si="0"/>
        <v>41</v>
      </c>
    </row>
    <row r="27" spans="1:10" x14ac:dyDescent="0.3">
      <c r="A27" s="2" t="s">
        <v>26</v>
      </c>
      <c r="B27" s="2" t="s">
        <v>27</v>
      </c>
      <c r="C27" s="2" t="s">
        <v>24</v>
      </c>
      <c r="D27" s="2">
        <v>147</v>
      </c>
      <c r="E27" s="2">
        <v>147</v>
      </c>
      <c r="F27" s="2">
        <v>10</v>
      </c>
      <c r="G27" s="2">
        <v>167</v>
      </c>
      <c r="H27" s="2">
        <v>22879</v>
      </c>
      <c r="I27" s="2" t="s">
        <v>12</v>
      </c>
      <c r="J27" s="2">
        <f t="shared" si="0"/>
        <v>137</v>
      </c>
    </row>
    <row r="28" spans="1:10" x14ac:dyDescent="0.3">
      <c r="A28" s="1" t="s">
        <v>15</v>
      </c>
      <c r="B28" s="1" t="s">
        <v>16</v>
      </c>
      <c r="C28" s="1" t="s">
        <v>13</v>
      </c>
      <c r="D28" s="1">
        <v>111</v>
      </c>
      <c r="E28" s="1">
        <v>121</v>
      </c>
      <c r="F28" s="1">
        <v>10</v>
      </c>
      <c r="G28" s="1">
        <v>227</v>
      </c>
      <c r="H28" s="1">
        <v>25197</v>
      </c>
      <c r="I28" s="1" t="s">
        <v>12</v>
      </c>
      <c r="J28" s="1">
        <f t="shared" si="0"/>
        <v>111</v>
      </c>
    </row>
    <row r="29" spans="1:10" x14ac:dyDescent="0.3">
      <c r="A29" s="2" t="s">
        <v>29</v>
      </c>
      <c r="B29" s="2" t="s">
        <v>19</v>
      </c>
      <c r="C29" s="2" t="s">
        <v>25</v>
      </c>
      <c r="D29" s="2">
        <v>182</v>
      </c>
      <c r="E29" s="2">
        <v>192</v>
      </c>
      <c r="F29" s="2">
        <v>5</v>
      </c>
      <c r="G29" s="2">
        <v>56</v>
      </c>
      <c r="H29" s="2">
        <v>10472</v>
      </c>
      <c r="I29" s="2" t="s">
        <v>14</v>
      </c>
      <c r="J29" s="2">
        <f t="shared" si="0"/>
        <v>187</v>
      </c>
    </row>
    <row r="30" spans="1:10" x14ac:dyDescent="0.3">
      <c r="A30" s="1" t="s">
        <v>18</v>
      </c>
      <c r="B30" s="1" t="s">
        <v>19</v>
      </c>
      <c r="C30" s="1" t="s">
        <v>25</v>
      </c>
      <c r="D30" s="1">
        <v>160</v>
      </c>
      <c r="E30" s="1">
        <v>160</v>
      </c>
      <c r="F30" s="1">
        <v>0</v>
      </c>
      <c r="G30" s="1">
        <v>150</v>
      </c>
      <c r="H30" s="1">
        <v>24000</v>
      </c>
      <c r="I30" s="1" t="s">
        <v>12</v>
      </c>
      <c r="J30" s="1">
        <f t="shared" si="0"/>
        <v>160</v>
      </c>
    </row>
    <row r="31" spans="1:10" x14ac:dyDescent="0.3">
      <c r="A31" s="2" t="s">
        <v>9</v>
      </c>
      <c r="B31" s="2" t="s">
        <v>10</v>
      </c>
      <c r="C31" s="2" t="s">
        <v>21</v>
      </c>
      <c r="D31" s="2">
        <v>175</v>
      </c>
      <c r="E31" s="2">
        <v>175</v>
      </c>
      <c r="F31" s="2">
        <v>0</v>
      </c>
      <c r="G31" s="2">
        <v>210</v>
      </c>
      <c r="H31" s="2">
        <v>36750</v>
      </c>
      <c r="I31" s="2" t="s">
        <v>12</v>
      </c>
      <c r="J31" s="2">
        <f t="shared" si="0"/>
        <v>175</v>
      </c>
    </row>
    <row r="32" spans="1:10" x14ac:dyDescent="0.3">
      <c r="A32" s="1" t="s">
        <v>26</v>
      </c>
      <c r="B32" s="1" t="s">
        <v>27</v>
      </c>
      <c r="C32" s="1" t="s">
        <v>13</v>
      </c>
      <c r="D32" s="1">
        <v>122</v>
      </c>
      <c r="E32" s="1">
        <v>127</v>
      </c>
      <c r="F32" s="1">
        <v>10</v>
      </c>
      <c r="G32" s="1">
        <v>122</v>
      </c>
      <c r="H32" s="1">
        <v>14274</v>
      </c>
      <c r="I32" s="1" t="s">
        <v>12</v>
      </c>
      <c r="J32" s="1">
        <f t="shared" si="0"/>
        <v>117</v>
      </c>
    </row>
    <row r="33" spans="1:10" x14ac:dyDescent="0.3">
      <c r="A33" s="2" t="s">
        <v>26</v>
      </c>
      <c r="B33" s="2" t="s">
        <v>27</v>
      </c>
      <c r="C33" s="2" t="s">
        <v>17</v>
      </c>
      <c r="D33" s="2">
        <v>124</v>
      </c>
      <c r="E33" s="2">
        <v>139</v>
      </c>
      <c r="F33" s="2">
        <v>5</v>
      </c>
      <c r="G33" s="2">
        <v>58</v>
      </c>
      <c r="H33" s="2">
        <v>7772</v>
      </c>
      <c r="I33" s="2" t="s">
        <v>12</v>
      </c>
      <c r="J33" s="2">
        <f t="shared" si="0"/>
        <v>134</v>
      </c>
    </row>
    <row r="34" spans="1:10" x14ac:dyDescent="0.3">
      <c r="A34" s="1" t="s">
        <v>28</v>
      </c>
      <c r="B34" s="1" t="s">
        <v>10</v>
      </c>
      <c r="C34" s="1" t="s">
        <v>13</v>
      </c>
      <c r="D34" s="1">
        <v>159</v>
      </c>
      <c r="E34" s="1">
        <v>164</v>
      </c>
      <c r="F34" s="1">
        <v>10</v>
      </c>
      <c r="G34" s="1">
        <v>83</v>
      </c>
      <c r="H34" s="1">
        <v>12782</v>
      </c>
      <c r="I34" s="1" t="s">
        <v>14</v>
      </c>
      <c r="J34" s="1">
        <f t="shared" si="0"/>
        <v>154</v>
      </c>
    </row>
    <row r="35" spans="1:10" x14ac:dyDescent="0.3">
      <c r="A35" s="2" t="s">
        <v>22</v>
      </c>
      <c r="B35" s="2" t="s">
        <v>23</v>
      </c>
      <c r="C35" s="2" t="s">
        <v>17</v>
      </c>
      <c r="D35" s="2">
        <v>142</v>
      </c>
      <c r="E35" s="2">
        <v>157</v>
      </c>
      <c r="F35" s="2">
        <v>10</v>
      </c>
      <c r="G35" s="2">
        <v>196</v>
      </c>
      <c r="H35" s="2">
        <v>28812</v>
      </c>
      <c r="I35" s="2" t="s">
        <v>14</v>
      </c>
      <c r="J35" s="2">
        <f t="shared" si="0"/>
        <v>147</v>
      </c>
    </row>
    <row r="36" spans="1:10" x14ac:dyDescent="0.3">
      <c r="A36" s="1" t="s">
        <v>20</v>
      </c>
      <c r="B36" s="1" t="s">
        <v>16</v>
      </c>
      <c r="C36" s="1" t="s">
        <v>13</v>
      </c>
      <c r="D36" s="1">
        <v>80</v>
      </c>
      <c r="E36" s="1">
        <v>90</v>
      </c>
      <c r="F36" s="1">
        <v>5</v>
      </c>
      <c r="G36" s="1">
        <v>246</v>
      </c>
      <c r="H36" s="1">
        <v>20910</v>
      </c>
      <c r="I36" s="1" t="s">
        <v>12</v>
      </c>
      <c r="J36" s="1">
        <f t="shared" si="0"/>
        <v>85</v>
      </c>
    </row>
    <row r="37" spans="1:10" x14ac:dyDescent="0.3">
      <c r="A37" s="2" t="s">
        <v>28</v>
      </c>
      <c r="B37" s="2" t="s">
        <v>10</v>
      </c>
      <c r="C37" s="2" t="s">
        <v>24</v>
      </c>
      <c r="D37" s="2">
        <v>20</v>
      </c>
      <c r="E37" s="2">
        <v>25</v>
      </c>
      <c r="F37" s="2">
        <v>0</v>
      </c>
      <c r="G37" s="2">
        <v>82</v>
      </c>
      <c r="H37" s="2">
        <v>2050</v>
      </c>
      <c r="I37" s="2" t="s">
        <v>12</v>
      </c>
      <c r="J37" s="2">
        <f t="shared" si="0"/>
        <v>25</v>
      </c>
    </row>
    <row r="38" spans="1:10" x14ac:dyDescent="0.3">
      <c r="A38" s="1" t="s">
        <v>9</v>
      </c>
      <c r="B38" s="1" t="s">
        <v>10</v>
      </c>
      <c r="C38" s="1" t="s">
        <v>25</v>
      </c>
      <c r="D38" s="1">
        <v>138</v>
      </c>
      <c r="E38" s="1">
        <v>138</v>
      </c>
      <c r="F38" s="1">
        <v>10</v>
      </c>
      <c r="G38" s="1">
        <v>129</v>
      </c>
      <c r="H38" s="1">
        <v>16512</v>
      </c>
      <c r="I38" s="1" t="s">
        <v>12</v>
      </c>
      <c r="J38" s="1">
        <f t="shared" si="0"/>
        <v>128</v>
      </c>
    </row>
    <row r="39" spans="1:10" x14ac:dyDescent="0.3">
      <c r="A39" s="2" t="s">
        <v>18</v>
      </c>
      <c r="B39" s="2" t="s">
        <v>19</v>
      </c>
      <c r="C39" s="2" t="s">
        <v>25</v>
      </c>
      <c r="D39" s="2">
        <v>87</v>
      </c>
      <c r="E39" s="2">
        <v>97</v>
      </c>
      <c r="F39" s="2">
        <v>5</v>
      </c>
      <c r="G39" s="2">
        <v>126</v>
      </c>
      <c r="H39" s="2">
        <v>11592</v>
      </c>
      <c r="I39" s="2" t="s">
        <v>12</v>
      </c>
      <c r="J39" s="2">
        <f t="shared" si="0"/>
        <v>92</v>
      </c>
    </row>
    <row r="40" spans="1:10" x14ac:dyDescent="0.3">
      <c r="A40" s="1" t="s">
        <v>29</v>
      </c>
      <c r="B40" s="1" t="s">
        <v>19</v>
      </c>
      <c r="C40" s="1" t="s">
        <v>25</v>
      </c>
      <c r="D40" s="1">
        <v>91</v>
      </c>
      <c r="E40" s="1">
        <v>91</v>
      </c>
      <c r="F40" s="1">
        <v>0</v>
      </c>
      <c r="G40" s="1">
        <v>239</v>
      </c>
      <c r="H40" s="1">
        <v>21749</v>
      </c>
      <c r="I40" s="1" t="s">
        <v>12</v>
      </c>
      <c r="J40" s="1">
        <f t="shared" si="0"/>
        <v>91</v>
      </c>
    </row>
    <row r="41" spans="1:10" x14ac:dyDescent="0.3">
      <c r="A41" s="2" t="s">
        <v>9</v>
      </c>
      <c r="B41" s="2" t="s">
        <v>10</v>
      </c>
      <c r="C41" s="2" t="s">
        <v>24</v>
      </c>
      <c r="D41" s="2">
        <v>108</v>
      </c>
      <c r="E41" s="2">
        <v>113</v>
      </c>
      <c r="F41" s="2">
        <v>0</v>
      </c>
      <c r="G41" s="2">
        <v>56</v>
      </c>
      <c r="H41" s="2">
        <v>6328</v>
      </c>
      <c r="I41" s="2" t="s">
        <v>12</v>
      </c>
      <c r="J41" s="2">
        <f t="shared" si="0"/>
        <v>113</v>
      </c>
    </row>
    <row r="42" spans="1:10" x14ac:dyDescent="0.3">
      <c r="A42" s="1" t="s">
        <v>29</v>
      </c>
      <c r="B42" s="1" t="s">
        <v>19</v>
      </c>
      <c r="C42" s="1" t="s">
        <v>13</v>
      </c>
      <c r="D42" s="1">
        <v>188</v>
      </c>
      <c r="E42" s="1">
        <v>198</v>
      </c>
      <c r="F42" s="1">
        <v>10</v>
      </c>
      <c r="G42" s="1">
        <v>81</v>
      </c>
      <c r="H42" s="1">
        <v>15228</v>
      </c>
      <c r="I42" s="1" t="s">
        <v>12</v>
      </c>
      <c r="J42" s="1">
        <f t="shared" si="0"/>
        <v>188</v>
      </c>
    </row>
    <row r="43" spans="1:10" x14ac:dyDescent="0.3">
      <c r="A43" s="2" t="s">
        <v>31</v>
      </c>
      <c r="B43" s="2" t="s">
        <v>32</v>
      </c>
      <c r="C43" s="2" t="s">
        <v>25</v>
      </c>
      <c r="D43" s="2">
        <v>74</v>
      </c>
      <c r="E43" s="2">
        <v>74</v>
      </c>
      <c r="F43" s="2">
        <v>0</v>
      </c>
      <c r="G43" s="2">
        <v>68</v>
      </c>
      <c r="H43" s="2">
        <v>5032</v>
      </c>
      <c r="I43" s="2" t="s">
        <v>12</v>
      </c>
      <c r="J43" s="2">
        <f t="shared" si="0"/>
        <v>74</v>
      </c>
    </row>
    <row r="44" spans="1:10" x14ac:dyDescent="0.3">
      <c r="A44" s="1" t="s">
        <v>30</v>
      </c>
      <c r="B44" s="1" t="s">
        <v>10</v>
      </c>
      <c r="C44" s="1" t="s">
        <v>21</v>
      </c>
      <c r="D44" s="1">
        <v>96</v>
      </c>
      <c r="E44" s="1">
        <v>101</v>
      </c>
      <c r="F44" s="1">
        <v>0</v>
      </c>
      <c r="G44" s="1">
        <v>299</v>
      </c>
      <c r="H44" s="1">
        <v>30199</v>
      </c>
      <c r="I44" s="1" t="s">
        <v>12</v>
      </c>
      <c r="J44" s="1">
        <f t="shared" si="0"/>
        <v>101</v>
      </c>
    </row>
    <row r="45" spans="1:10" x14ac:dyDescent="0.3">
      <c r="A45" s="2" t="s">
        <v>28</v>
      </c>
      <c r="B45" s="2" t="s">
        <v>10</v>
      </c>
      <c r="C45" s="2" t="s">
        <v>11</v>
      </c>
      <c r="D45" s="2">
        <v>177</v>
      </c>
      <c r="E45" s="2">
        <v>187</v>
      </c>
      <c r="F45" s="2">
        <v>5</v>
      </c>
      <c r="G45" s="2">
        <v>143</v>
      </c>
      <c r="H45" s="2">
        <v>26026</v>
      </c>
      <c r="I45" s="2" t="s">
        <v>12</v>
      </c>
      <c r="J45" s="2">
        <f t="shared" si="0"/>
        <v>182</v>
      </c>
    </row>
    <row r="46" spans="1:10" x14ac:dyDescent="0.3">
      <c r="A46" s="1" t="s">
        <v>29</v>
      </c>
      <c r="B46" s="1" t="s">
        <v>19</v>
      </c>
      <c r="C46" s="1" t="s">
        <v>25</v>
      </c>
      <c r="D46" s="1">
        <v>191</v>
      </c>
      <c r="E46" s="1">
        <v>201</v>
      </c>
      <c r="F46" s="1">
        <v>10</v>
      </c>
      <c r="G46" s="1">
        <v>73</v>
      </c>
      <c r="H46" s="1">
        <v>13943</v>
      </c>
      <c r="I46" s="1" t="s">
        <v>14</v>
      </c>
      <c r="J46" s="1">
        <f t="shared" si="0"/>
        <v>191</v>
      </c>
    </row>
    <row r="47" spans="1:10" x14ac:dyDescent="0.3">
      <c r="A47" s="2" t="s">
        <v>15</v>
      </c>
      <c r="B47" s="2" t="s">
        <v>16</v>
      </c>
      <c r="C47" s="2" t="s">
        <v>21</v>
      </c>
      <c r="D47" s="2">
        <v>128</v>
      </c>
      <c r="E47" s="2">
        <v>143</v>
      </c>
      <c r="F47" s="2">
        <v>0</v>
      </c>
      <c r="G47" s="2">
        <v>231</v>
      </c>
      <c r="H47" s="2">
        <v>33033</v>
      </c>
      <c r="I47" s="2" t="s">
        <v>14</v>
      </c>
      <c r="J47" s="2">
        <f t="shared" si="0"/>
        <v>143</v>
      </c>
    </row>
    <row r="48" spans="1:10" x14ac:dyDescent="0.3">
      <c r="A48" s="1" t="s">
        <v>15</v>
      </c>
      <c r="B48" s="1" t="s">
        <v>16</v>
      </c>
      <c r="C48" s="1" t="s">
        <v>21</v>
      </c>
      <c r="D48" s="1">
        <v>118</v>
      </c>
      <c r="E48" s="1">
        <v>128</v>
      </c>
      <c r="F48" s="1">
        <v>5</v>
      </c>
      <c r="G48" s="1">
        <v>287</v>
      </c>
      <c r="H48" s="1">
        <v>35301</v>
      </c>
      <c r="I48" s="1" t="s">
        <v>12</v>
      </c>
      <c r="J48" s="1">
        <f t="shared" si="0"/>
        <v>123</v>
      </c>
    </row>
    <row r="49" spans="1:10" x14ac:dyDescent="0.3">
      <c r="A49" s="2" t="s">
        <v>31</v>
      </c>
      <c r="B49" s="2" t="s">
        <v>32</v>
      </c>
      <c r="C49" s="2" t="s">
        <v>25</v>
      </c>
      <c r="D49" s="2">
        <v>123</v>
      </c>
      <c r="E49" s="2">
        <v>123</v>
      </c>
      <c r="F49" s="2">
        <v>0</v>
      </c>
      <c r="G49" s="2">
        <v>207</v>
      </c>
      <c r="H49" s="2">
        <v>25461</v>
      </c>
      <c r="I49" s="2" t="s">
        <v>14</v>
      </c>
      <c r="J49" s="2">
        <f t="shared" si="0"/>
        <v>123</v>
      </c>
    </row>
    <row r="50" spans="1:10" x14ac:dyDescent="0.3">
      <c r="A50" s="1" t="s">
        <v>18</v>
      </c>
      <c r="B50" s="1" t="s">
        <v>19</v>
      </c>
      <c r="C50" s="1" t="s">
        <v>24</v>
      </c>
      <c r="D50" s="1">
        <v>86</v>
      </c>
      <c r="E50" s="1">
        <v>86</v>
      </c>
      <c r="F50" s="1">
        <v>0</v>
      </c>
      <c r="G50" s="1">
        <v>198</v>
      </c>
      <c r="H50" s="1">
        <v>17028</v>
      </c>
      <c r="I50" s="1" t="s">
        <v>12</v>
      </c>
      <c r="J50" s="1">
        <f t="shared" si="0"/>
        <v>86</v>
      </c>
    </row>
    <row r="51" spans="1:10" x14ac:dyDescent="0.3">
      <c r="A51" s="2" t="s">
        <v>29</v>
      </c>
      <c r="B51" s="2" t="s">
        <v>19</v>
      </c>
      <c r="C51" s="2" t="s">
        <v>17</v>
      </c>
      <c r="D51" s="2">
        <v>176</v>
      </c>
      <c r="E51" s="2">
        <v>186</v>
      </c>
      <c r="F51" s="2">
        <v>0</v>
      </c>
      <c r="G51" s="2">
        <v>171</v>
      </c>
      <c r="H51" s="2">
        <v>31806</v>
      </c>
      <c r="I51" s="2" t="s">
        <v>12</v>
      </c>
      <c r="J51" s="2">
        <f t="shared" si="0"/>
        <v>186</v>
      </c>
    </row>
    <row r="52" spans="1:10" x14ac:dyDescent="0.3">
      <c r="A52" s="1" t="s">
        <v>15</v>
      </c>
      <c r="B52" s="1" t="s">
        <v>16</v>
      </c>
      <c r="C52" s="1" t="s">
        <v>13</v>
      </c>
      <c r="D52" s="1">
        <v>137</v>
      </c>
      <c r="E52" s="1">
        <v>147</v>
      </c>
      <c r="F52" s="1">
        <v>10</v>
      </c>
      <c r="G52" s="1">
        <v>52</v>
      </c>
      <c r="H52" s="1">
        <v>7124</v>
      </c>
      <c r="I52" s="1" t="s">
        <v>12</v>
      </c>
      <c r="J52" s="1">
        <f t="shared" si="0"/>
        <v>137</v>
      </c>
    </row>
    <row r="53" spans="1:10" x14ac:dyDescent="0.3">
      <c r="A53" s="2" t="s">
        <v>30</v>
      </c>
      <c r="B53" s="2" t="s">
        <v>10</v>
      </c>
      <c r="C53" s="2" t="s">
        <v>13</v>
      </c>
      <c r="D53" s="2">
        <v>62</v>
      </c>
      <c r="E53" s="2">
        <v>72</v>
      </c>
      <c r="F53" s="2">
        <v>5</v>
      </c>
      <c r="G53" s="2">
        <v>130</v>
      </c>
      <c r="H53" s="2">
        <v>8710</v>
      </c>
      <c r="I53" s="2" t="s">
        <v>12</v>
      </c>
      <c r="J53" s="2">
        <f t="shared" si="0"/>
        <v>67</v>
      </c>
    </row>
    <row r="54" spans="1:10" x14ac:dyDescent="0.3">
      <c r="A54" s="1" t="s">
        <v>29</v>
      </c>
      <c r="B54" s="1" t="s">
        <v>19</v>
      </c>
      <c r="C54" s="1" t="s">
        <v>13</v>
      </c>
      <c r="D54" s="1">
        <v>80</v>
      </c>
      <c r="E54" s="1">
        <v>90</v>
      </c>
      <c r="F54" s="1">
        <v>10</v>
      </c>
      <c r="G54" s="1">
        <v>226</v>
      </c>
      <c r="H54" s="1">
        <v>18080</v>
      </c>
      <c r="I54" s="1" t="s">
        <v>14</v>
      </c>
      <c r="J54" s="1">
        <f t="shared" si="0"/>
        <v>80</v>
      </c>
    </row>
    <row r="55" spans="1:10" x14ac:dyDescent="0.3">
      <c r="A55" s="2" t="s">
        <v>22</v>
      </c>
      <c r="B55" s="2" t="s">
        <v>23</v>
      </c>
      <c r="C55" s="2" t="s">
        <v>25</v>
      </c>
      <c r="D55" s="2">
        <v>37</v>
      </c>
      <c r="E55" s="2">
        <v>37</v>
      </c>
      <c r="F55" s="2">
        <v>5</v>
      </c>
      <c r="G55" s="2">
        <v>209</v>
      </c>
      <c r="H55" s="2">
        <v>6688</v>
      </c>
      <c r="I55" s="2" t="s">
        <v>12</v>
      </c>
      <c r="J55" s="2">
        <f t="shared" si="0"/>
        <v>32</v>
      </c>
    </row>
    <row r="56" spans="1:10" x14ac:dyDescent="0.3">
      <c r="A56" s="1" t="s">
        <v>20</v>
      </c>
      <c r="B56" s="1" t="s">
        <v>16</v>
      </c>
      <c r="C56" s="1" t="s">
        <v>21</v>
      </c>
      <c r="D56" s="1">
        <v>45</v>
      </c>
      <c r="E56" s="1">
        <v>45</v>
      </c>
      <c r="F56" s="1">
        <v>5</v>
      </c>
      <c r="G56" s="1">
        <v>94</v>
      </c>
      <c r="H56" s="1">
        <v>3760</v>
      </c>
      <c r="I56" s="1" t="s">
        <v>12</v>
      </c>
      <c r="J56" s="1">
        <f t="shared" si="0"/>
        <v>40</v>
      </c>
    </row>
    <row r="57" spans="1:10" x14ac:dyDescent="0.3">
      <c r="A57" s="2" t="s">
        <v>20</v>
      </c>
      <c r="B57" s="2" t="s">
        <v>16</v>
      </c>
      <c r="C57" s="2" t="s">
        <v>11</v>
      </c>
      <c r="D57" s="2">
        <v>68</v>
      </c>
      <c r="E57" s="2">
        <v>83</v>
      </c>
      <c r="F57" s="2">
        <v>5</v>
      </c>
      <c r="G57" s="2">
        <v>101</v>
      </c>
      <c r="H57" s="2">
        <v>7878</v>
      </c>
      <c r="I57" s="2" t="s">
        <v>14</v>
      </c>
      <c r="J57" s="2">
        <f t="shared" si="0"/>
        <v>78</v>
      </c>
    </row>
    <row r="58" spans="1:10" x14ac:dyDescent="0.3">
      <c r="A58" s="1" t="s">
        <v>26</v>
      </c>
      <c r="B58" s="1" t="s">
        <v>27</v>
      </c>
      <c r="C58" s="1" t="s">
        <v>17</v>
      </c>
      <c r="D58" s="1">
        <v>182</v>
      </c>
      <c r="E58" s="1">
        <v>197</v>
      </c>
      <c r="F58" s="1">
        <v>0</v>
      </c>
      <c r="G58" s="1">
        <v>294</v>
      </c>
      <c r="H58" s="1">
        <v>57918</v>
      </c>
      <c r="I58" s="1" t="s">
        <v>12</v>
      </c>
      <c r="J58" s="1">
        <f t="shared" si="0"/>
        <v>197</v>
      </c>
    </row>
    <row r="59" spans="1:10" x14ac:dyDescent="0.3">
      <c r="A59" s="2" t="s">
        <v>28</v>
      </c>
      <c r="B59" s="2" t="s">
        <v>10</v>
      </c>
      <c r="C59" s="2" t="s">
        <v>11</v>
      </c>
      <c r="D59" s="2">
        <v>188</v>
      </c>
      <c r="E59" s="2">
        <v>203</v>
      </c>
      <c r="F59" s="2">
        <v>10</v>
      </c>
      <c r="G59" s="2">
        <v>279</v>
      </c>
      <c r="H59" s="2">
        <v>53847</v>
      </c>
      <c r="I59" s="2" t="s">
        <v>12</v>
      </c>
      <c r="J59" s="2">
        <f t="shared" si="0"/>
        <v>193</v>
      </c>
    </row>
    <row r="60" spans="1:10" x14ac:dyDescent="0.3">
      <c r="A60" s="1" t="s">
        <v>18</v>
      </c>
      <c r="B60" s="1" t="s">
        <v>19</v>
      </c>
      <c r="C60" s="1" t="s">
        <v>11</v>
      </c>
      <c r="D60" s="1">
        <v>135</v>
      </c>
      <c r="E60" s="1">
        <v>140</v>
      </c>
      <c r="F60" s="1">
        <v>5</v>
      </c>
      <c r="G60" s="1">
        <v>162</v>
      </c>
      <c r="H60" s="1">
        <v>21870</v>
      </c>
      <c r="I60" s="1" t="s">
        <v>12</v>
      </c>
      <c r="J60" s="1">
        <f t="shared" si="0"/>
        <v>135</v>
      </c>
    </row>
    <row r="61" spans="1:10" x14ac:dyDescent="0.3">
      <c r="A61" s="2" t="s">
        <v>22</v>
      </c>
      <c r="B61" s="2" t="s">
        <v>23</v>
      </c>
      <c r="C61" s="2" t="s">
        <v>17</v>
      </c>
      <c r="D61" s="2">
        <v>193</v>
      </c>
      <c r="E61" s="2">
        <v>193</v>
      </c>
      <c r="F61" s="2">
        <v>10</v>
      </c>
      <c r="G61" s="2">
        <v>159</v>
      </c>
      <c r="H61" s="2">
        <v>29097</v>
      </c>
      <c r="I61" s="2" t="s">
        <v>12</v>
      </c>
      <c r="J61" s="2">
        <f t="shared" si="0"/>
        <v>183</v>
      </c>
    </row>
    <row r="62" spans="1:10" x14ac:dyDescent="0.3">
      <c r="A62" s="1" t="s">
        <v>30</v>
      </c>
      <c r="B62" s="1" t="s">
        <v>10</v>
      </c>
      <c r="C62" s="1" t="s">
        <v>25</v>
      </c>
      <c r="D62" s="1">
        <v>150</v>
      </c>
      <c r="E62" s="1">
        <v>165</v>
      </c>
      <c r="F62" s="1">
        <v>0</v>
      </c>
      <c r="G62" s="1">
        <v>179</v>
      </c>
      <c r="H62" s="1">
        <v>29535</v>
      </c>
      <c r="I62" s="1" t="s">
        <v>12</v>
      </c>
      <c r="J62" s="1">
        <f t="shared" si="0"/>
        <v>165</v>
      </c>
    </row>
    <row r="63" spans="1:10" x14ac:dyDescent="0.3">
      <c r="A63" s="2" t="s">
        <v>20</v>
      </c>
      <c r="B63" s="2" t="s">
        <v>16</v>
      </c>
      <c r="C63" s="2" t="s">
        <v>17</v>
      </c>
      <c r="D63" s="2">
        <v>160</v>
      </c>
      <c r="E63" s="2">
        <v>165</v>
      </c>
      <c r="F63" s="2">
        <v>0</v>
      </c>
      <c r="G63" s="2">
        <v>244</v>
      </c>
      <c r="H63" s="2">
        <v>40260</v>
      </c>
      <c r="I63" s="2" t="s">
        <v>12</v>
      </c>
      <c r="J63" s="2">
        <f t="shared" si="0"/>
        <v>165</v>
      </c>
    </row>
    <row r="64" spans="1:10" x14ac:dyDescent="0.3">
      <c r="A64" s="1" t="s">
        <v>28</v>
      </c>
      <c r="B64" s="1" t="s">
        <v>10</v>
      </c>
      <c r="C64" s="1" t="s">
        <v>25</v>
      </c>
      <c r="D64" s="1">
        <v>123</v>
      </c>
      <c r="E64" s="1">
        <v>138</v>
      </c>
      <c r="F64" s="1">
        <v>0</v>
      </c>
      <c r="G64" s="1">
        <v>174</v>
      </c>
      <c r="H64" s="1">
        <v>24012</v>
      </c>
      <c r="I64" s="1" t="s">
        <v>14</v>
      </c>
      <c r="J64" s="1">
        <f t="shared" si="0"/>
        <v>138</v>
      </c>
    </row>
    <row r="65" spans="1:10" x14ac:dyDescent="0.3">
      <c r="A65" s="2" t="s">
        <v>22</v>
      </c>
      <c r="B65" s="2" t="s">
        <v>23</v>
      </c>
      <c r="C65" s="2" t="s">
        <v>17</v>
      </c>
      <c r="D65" s="2">
        <v>99</v>
      </c>
      <c r="E65" s="2">
        <v>104</v>
      </c>
      <c r="F65" s="2">
        <v>0</v>
      </c>
      <c r="G65" s="2">
        <v>211</v>
      </c>
      <c r="H65" s="2">
        <v>21944</v>
      </c>
      <c r="I65" s="2" t="s">
        <v>12</v>
      </c>
      <c r="J65" s="2">
        <f t="shared" si="0"/>
        <v>104</v>
      </c>
    </row>
    <row r="66" spans="1:10" x14ac:dyDescent="0.3">
      <c r="A66" s="1" t="s">
        <v>29</v>
      </c>
      <c r="B66" s="1" t="s">
        <v>19</v>
      </c>
      <c r="C66" s="1" t="s">
        <v>11</v>
      </c>
      <c r="D66" s="1">
        <v>140</v>
      </c>
      <c r="E66" s="1">
        <v>140</v>
      </c>
      <c r="F66" s="1">
        <v>10</v>
      </c>
      <c r="G66" s="1">
        <v>269</v>
      </c>
      <c r="H66" s="1">
        <v>34970</v>
      </c>
      <c r="I66" s="1" t="s">
        <v>12</v>
      </c>
      <c r="J66" s="1">
        <f t="shared" si="0"/>
        <v>130</v>
      </c>
    </row>
    <row r="67" spans="1:10" x14ac:dyDescent="0.3">
      <c r="A67" s="2" t="s">
        <v>18</v>
      </c>
      <c r="B67" s="2" t="s">
        <v>19</v>
      </c>
      <c r="C67" s="2" t="s">
        <v>17</v>
      </c>
      <c r="D67" s="2">
        <v>185</v>
      </c>
      <c r="E67" s="2">
        <v>185</v>
      </c>
      <c r="F67" s="2">
        <v>10</v>
      </c>
      <c r="G67" s="2">
        <v>200</v>
      </c>
      <c r="H67" s="2">
        <v>35000</v>
      </c>
      <c r="I67" s="2" t="s">
        <v>12</v>
      </c>
      <c r="J67" s="2">
        <f t="shared" ref="J67:J130" si="1">H67/G67</f>
        <v>175</v>
      </c>
    </row>
    <row r="68" spans="1:10" x14ac:dyDescent="0.3">
      <c r="A68" s="1" t="s">
        <v>9</v>
      </c>
      <c r="B68" s="1" t="s">
        <v>10</v>
      </c>
      <c r="C68" s="1" t="s">
        <v>21</v>
      </c>
      <c r="D68" s="1">
        <v>172</v>
      </c>
      <c r="E68" s="1">
        <v>172</v>
      </c>
      <c r="F68" s="1">
        <v>10</v>
      </c>
      <c r="G68" s="1">
        <v>132</v>
      </c>
      <c r="H68" s="1">
        <v>21384</v>
      </c>
      <c r="I68" s="1" t="s">
        <v>12</v>
      </c>
      <c r="J68" s="1">
        <f t="shared" si="1"/>
        <v>162</v>
      </c>
    </row>
    <row r="69" spans="1:10" x14ac:dyDescent="0.3">
      <c r="A69" s="2" t="s">
        <v>30</v>
      </c>
      <c r="B69" s="2" t="s">
        <v>10</v>
      </c>
      <c r="C69" s="2" t="s">
        <v>24</v>
      </c>
      <c r="D69" s="2">
        <v>139</v>
      </c>
      <c r="E69" s="2">
        <v>144</v>
      </c>
      <c r="F69" s="2">
        <v>0</v>
      </c>
      <c r="G69" s="2">
        <v>253</v>
      </c>
      <c r="H69" s="2">
        <v>36432</v>
      </c>
      <c r="I69" s="2" t="s">
        <v>14</v>
      </c>
      <c r="J69" s="2">
        <f t="shared" si="1"/>
        <v>144</v>
      </c>
    </row>
    <row r="70" spans="1:10" x14ac:dyDescent="0.3">
      <c r="A70" s="1" t="s">
        <v>30</v>
      </c>
      <c r="B70" s="1" t="s">
        <v>10</v>
      </c>
      <c r="C70" s="1" t="s">
        <v>25</v>
      </c>
      <c r="D70" s="1">
        <v>180</v>
      </c>
      <c r="E70" s="1">
        <v>190</v>
      </c>
      <c r="F70" s="1">
        <v>10</v>
      </c>
      <c r="G70" s="1">
        <v>156</v>
      </c>
      <c r="H70" s="1">
        <v>28080</v>
      </c>
      <c r="I70" s="1" t="s">
        <v>14</v>
      </c>
      <c r="J70" s="1">
        <f t="shared" si="1"/>
        <v>180</v>
      </c>
    </row>
    <row r="71" spans="1:10" x14ac:dyDescent="0.3">
      <c r="A71" s="2" t="s">
        <v>20</v>
      </c>
      <c r="B71" s="2" t="s">
        <v>16</v>
      </c>
      <c r="C71" s="2" t="s">
        <v>13</v>
      </c>
      <c r="D71" s="2">
        <v>155</v>
      </c>
      <c r="E71" s="2">
        <v>165</v>
      </c>
      <c r="F71" s="2">
        <v>10</v>
      </c>
      <c r="G71" s="2">
        <v>74</v>
      </c>
      <c r="H71" s="2">
        <v>11470</v>
      </c>
      <c r="I71" s="2" t="s">
        <v>12</v>
      </c>
      <c r="J71" s="2">
        <f t="shared" si="1"/>
        <v>155</v>
      </c>
    </row>
    <row r="72" spans="1:10" x14ac:dyDescent="0.3">
      <c r="A72" s="1" t="s">
        <v>20</v>
      </c>
      <c r="B72" s="1" t="s">
        <v>16</v>
      </c>
      <c r="C72" s="1" t="s">
        <v>13</v>
      </c>
      <c r="D72" s="1">
        <v>105</v>
      </c>
      <c r="E72" s="1">
        <v>105</v>
      </c>
      <c r="F72" s="1">
        <v>5</v>
      </c>
      <c r="G72" s="1">
        <v>295</v>
      </c>
      <c r="H72" s="1">
        <v>29500</v>
      </c>
      <c r="I72" s="1" t="s">
        <v>14</v>
      </c>
      <c r="J72" s="1">
        <f t="shared" si="1"/>
        <v>100</v>
      </c>
    </row>
    <row r="73" spans="1:10" x14ac:dyDescent="0.3">
      <c r="A73" s="2" t="s">
        <v>26</v>
      </c>
      <c r="B73" s="2" t="s">
        <v>27</v>
      </c>
      <c r="C73" s="2" t="s">
        <v>25</v>
      </c>
      <c r="D73" s="2">
        <v>49</v>
      </c>
      <c r="E73" s="2">
        <v>49</v>
      </c>
      <c r="F73" s="2">
        <v>10</v>
      </c>
      <c r="G73" s="2">
        <v>99</v>
      </c>
      <c r="H73" s="2">
        <v>3861</v>
      </c>
      <c r="I73" s="2" t="s">
        <v>14</v>
      </c>
      <c r="J73" s="2">
        <f t="shared" si="1"/>
        <v>39</v>
      </c>
    </row>
    <row r="74" spans="1:10" x14ac:dyDescent="0.3">
      <c r="A74" s="1" t="s">
        <v>18</v>
      </c>
      <c r="B74" s="1" t="s">
        <v>19</v>
      </c>
      <c r="C74" s="1" t="s">
        <v>24</v>
      </c>
      <c r="D74" s="1">
        <v>53</v>
      </c>
      <c r="E74" s="1">
        <v>63</v>
      </c>
      <c r="F74" s="1">
        <v>0</v>
      </c>
      <c r="G74" s="1">
        <v>179</v>
      </c>
      <c r="H74" s="1">
        <v>11277</v>
      </c>
      <c r="I74" s="1" t="s">
        <v>12</v>
      </c>
      <c r="J74" s="1">
        <f t="shared" si="1"/>
        <v>63</v>
      </c>
    </row>
    <row r="75" spans="1:10" x14ac:dyDescent="0.3">
      <c r="A75" s="2" t="s">
        <v>29</v>
      </c>
      <c r="B75" s="2" t="s">
        <v>19</v>
      </c>
      <c r="C75" s="2" t="s">
        <v>25</v>
      </c>
      <c r="D75" s="2">
        <v>99</v>
      </c>
      <c r="E75" s="2">
        <v>109</v>
      </c>
      <c r="F75" s="2">
        <v>0</v>
      </c>
      <c r="G75" s="2">
        <v>297</v>
      </c>
      <c r="H75" s="2">
        <v>32373</v>
      </c>
      <c r="I75" s="2" t="s">
        <v>14</v>
      </c>
      <c r="J75" s="2">
        <f t="shared" si="1"/>
        <v>109</v>
      </c>
    </row>
    <row r="76" spans="1:10" x14ac:dyDescent="0.3">
      <c r="A76" s="1" t="s">
        <v>20</v>
      </c>
      <c r="B76" s="1" t="s">
        <v>16</v>
      </c>
      <c r="C76" s="1" t="s">
        <v>11</v>
      </c>
      <c r="D76" s="1">
        <v>159</v>
      </c>
      <c r="E76" s="1">
        <v>174</v>
      </c>
      <c r="F76" s="1">
        <v>5</v>
      </c>
      <c r="G76" s="1">
        <v>138</v>
      </c>
      <c r="H76" s="1">
        <v>23322</v>
      </c>
      <c r="I76" s="1" t="s">
        <v>14</v>
      </c>
      <c r="J76" s="1">
        <f t="shared" si="1"/>
        <v>169</v>
      </c>
    </row>
    <row r="77" spans="1:10" x14ac:dyDescent="0.3">
      <c r="A77" s="2" t="s">
        <v>31</v>
      </c>
      <c r="B77" s="2" t="s">
        <v>32</v>
      </c>
      <c r="C77" s="2" t="s">
        <v>17</v>
      </c>
      <c r="D77" s="2">
        <v>191</v>
      </c>
      <c r="E77" s="2">
        <v>191</v>
      </c>
      <c r="F77" s="2">
        <v>10</v>
      </c>
      <c r="G77" s="2">
        <v>211</v>
      </c>
      <c r="H77" s="2">
        <v>38191</v>
      </c>
      <c r="I77" s="2" t="s">
        <v>12</v>
      </c>
      <c r="J77" s="2">
        <f t="shared" si="1"/>
        <v>181</v>
      </c>
    </row>
    <row r="78" spans="1:10" x14ac:dyDescent="0.3">
      <c r="A78" s="1" t="s">
        <v>18</v>
      </c>
      <c r="B78" s="1" t="s">
        <v>19</v>
      </c>
      <c r="C78" s="1" t="s">
        <v>13</v>
      </c>
      <c r="D78" s="1">
        <v>186</v>
      </c>
      <c r="E78" s="1">
        <v>186</v>
      </c>
      <c r="F78" s="1">
        <v>10</v>
      </c>
      <c r="G78" s="1">
        <v>66</v>
      </c>
      <c r="H78" s="1">
        <v>11616</v>
      </c>
      <c r="I78" s="1" t="s">
        <v>14</v>
      </c>
      <c r="J78" s="1">
        <f t="shared" si="1"/>
        <v>176</v>
      </c>
    </row>
    <row r="79" spans="1:10" x14ac:dyDescent="0.3">
      <c r="A79" s="2" t="s">
        <v>15</v>
      </c>
      <c r="B79" s="2" t="s">
        <v>16</v>
      </c>
      <c r="C79" s="2" t="s">
        <v>13</v>
      </c>
      <c r="D79" s="2">
        <v>114</v>
      </c>
      <c r="E79" s="2">
        <v>114</v>
      </c>
      <c r="F79" s="2">
        <v>10</v>
      </c>
      <c r="G79" s="2">
        <v>283</v>
      </c>
      <c r="H79" s="2">
        <v>29432</v>
      </c>
      <c r="I79" s="2" t="s">
        <v>12</v>
      </c>
      <c r="J79" s="2">
        <f t="shared" si="1"/>
        <v>104</v>
      </c>
    </row>
    <row r="80" spans="1:10" x14ac:dyDescent="0.3">
      <c r="A80" s="1" t="s">
        <v>9</v>
      </c>
      <c r="B80" s="1" t="s">
        <v>10</v>
      </c>
      <c r="C80" s="1" t="s">
        <v>17</v>
      </c>
      <c r="D80" s="1">
        <v>20</v>
      </c>
      <c r="E80" s="1">
        <v>35</v>
      </c>
      <c r="F80" s="1">
        <v>10</v>
      </c>
      <c r="G80" s="1">
        <v>257</v>
      </c>
      <c r="H80" s="1">
        <v>6425</v>
      </c>
      <c r="I80" s="1" t="s">
        <v>14</v>
      </c>
      <c r="J80" s="1">
        <f t="shared" si="1"/>
        <v>25</v>
      </c>
    </row>
    <row r="81" spans="1:10" x14ac:dyDescent="0.3">
      <c r="A81" s="2" t="s">
        <v>29</v>
      </c>
      <c r="B81" s="2" t="s">
        <v>19</v>
      </c>
      <c r="C81" s="2" t="s">
        <v>17</v>
      </c>
      <c r="D81" s="2">
        <v>177</v>
      </c>
      <c r="E81" s="2">
        <v>187</v>
      </c>
      <c r="F81" s="2">
        <v>5</v>
      </c>
      <c r="G81" s="2">
        <v>299</v>
      </c>
      <c r="H81" s="2">
        <v>54418</v>
      </c>
      <c r="I81" s="2" t="s">
        <v>12</v>
      </c>
      <c r="J81" s="2">
        <f t="shared" si="1"/>
        <v>182</v>
      </c>
    </row>
    <row r="82" spans="1:10" x14ac:dyDescent="0.3">
      <c r="A82" s="1" t="s">
        <v>30</v>
      </c>
      <c r="B82" s="1" t="s">
        <v>10</v>
      </c>
      <c r="C82" s="1" t="s">
        <v>13</v>
      </c>
      <c r="D82" s="1">
        <v>151</v>
      </c>
      <c r="E82" s="1">
        <v>156</v>
      </c>
      <c r="F82" s="1">
        <v>0</v>
      </c>
      <c r="G82" s="1">
        <v>52</v>
      </c>
      <c r="H82" s="1">
        <v>8112</v>
      </c>
      <c r="I82" s="1" t="s">
        <v>14</v>
      </c>
      <c r="J82" s="1">
        <f t="shared" si="1"/>
        <v>156</v>
      </c>
    </row>
    <row r="83" spans="1:10" x14ac:dyDescent="0.3">
      <c r="A83" s="2" t="s">
        <v>28</v>
      </c>
      <c r="B83" s="2" t="s">
        <v>10</v>
      </c>
      <c r="C83" s="2" t="s">
        <v>17</v>
      </c>
      <c r="D83" s="2">
        <v>32</v>
      </c>
      <c r="E83" s="2">
        <v>47</v>
      </c>
      <c r="F83" s="2">
        <v>10</v>
      </c>
      <c r="G83" s="2">
        <v>147</v>
      </c>
      <c r="H83" s="2">
        <v>5439</v>
      </c>
      <c r="I83" s="2" t="s">
        <v>12</v>
      </c>
      <c r="J83" s="2">
        <f t="shared" si="1"/>
        <v>37</v>
      </c>
    </row>
    <row r="84" spans="1:10" x14ac:dyDescent="0.3">
      <c r="A84" s="1" t="s">
        <v>29</v>
      </c>
      <c r="B84" s="1" t="s">
        <v>19</v>
      </c>
      <c r="C84" s="1" t="s">
        <v>11</v>
      </c>
      <c r="D84" s="1">
        <v>55</v>
      </c>
      <c r="E84" s="1">
        <v>60</v>
      </c>
      <c r="F84" s="1">
        <v>5</v>
      </c>
      <c r="G84" s="1">
        <v>208</v>
      </c>
      <c r="H84" s="1">
        <v>11440</v>
      </c>
      <c r="I84" s="1" t="s">
        <v>12</v>
      </c>
      <c r="J84" s="1">
        <f t="shared" si="1"/>
        <v>55</v>
      </c>
    </row>
    <row r="85" spans="1:10" x14ac:dyDescent="0.3">
      <c r="A85" s="2" t="s">
        <v>26</v>
      </c>
      <c r="B85" s="2" t="s">
        <v>27</v>
      </c>
      <c r="C85" s="2" t="s">
        <v>24</v>
      </c>
      <c r="D85" s="2">
        <v>37</v>
      </c>
      <c r="E85" s="2">
        <v>52</v>
      </c>
      <c r="F85" s="2">
        <v>10</v>
      </c>
      <c r="G85" s="2">
        <v>163</v>
      </c>
      <c r="H85" s="2">
        <v>6846</v>
      </c>
      <c r="I85" s="2" t="s">
        <v>12</v>
      </c>
      <c r="J85" s="2">
        <f t="shared" si="1"/>
        <v>42</v>
      </c>
    </row>
    <row r="86" spans="1:10" x14ac:dyDescent="0.3">
      <c r="A86" s="1" t="s">
        <v>26</v>
      </c>
      <c r="B86" s="1" t="s">
        <v>27</v>
      </c>
      <c r="C86" s="1" t="s">
        <v>17</v>
      </c>
      <c r="D86" s="1">
        <v>170</v>
      </c>
      <c r="E86" s="1">
        <v>175</v>
      </c>
      <c r="F86" s="1">
        <v>5</v>
      </c>
      <c r="G86" s="1">
        <v>294</v>
      </c>
      <c r="H86" s="1">
        <v>49980</v>
      </c>
      <c r="I86" s="1" t="s">
        <v>12</v>
      </c>
      <c r="J86" s="1">
        <f t="shared" si="1"/>
        <v>170</v>
      </c>
    </row>
    <row r="87" spans="1:10" x14ac:dyDescent="0.3">
      <c r="A87" s="2" t="s">
        <v>15</v>
      </c>
      <c r="B87" s="2" t="s">
        <v>16</v>
      </c>
      <c r="C87" s="2" t="s">
        <v>13</v>
      </c>
      <c r="D87" s="2">
        <v>29</v>
      </c>
      <c r="E87" s="2">
        <v>29</v>
      </c>
      <c r="F87" s="2">
        <v>0</v>
      </c>
      <c r="G87" s="2">
        <v>132</v>
      </c>
      <c r="H87" s="2">
        <v>3828</v>
      </c>
      <c r="I87" s="2" t="s">
        <v>12</v>
      </c>
      <c r="J87" s="2">
        <f t="shared" si="1"/>
        <v>29</v>
      </c>
    </row>
    <row r="88" spans="1:10" x14ac:dyDescent="0.3">
      <c r="A88" s="1" t="s">
        <v>28</v>
      </c>
      <c r="B88" s="1" t="s">
        <v>10</v>
      </c>
      <c r="C88" s="1" t="s">
        <v>11</v>
      </c>
      <c r="D88" s="1">
        <v>57</v>
      </c>
      <c r="E88" s="1">
        <v>57</v>
      </c>
      <c r="F88" s="1">
        <v>5</v>
      </c>
      <c r="G88" s="1">
        <v>247</v>
      </c>
      <c r="H88" s="1">
        <v>12844</v>
      </c>
      <c r="I88" s="1" t="s">
        <v>12</v>
      </c>
      <c r="J88" s="1">
        <f t="shared" si="1"/>
        <v>52</v>
      </c>
    </row>
    <row r="89" spans="1:10" x14ac:dyDescent="0.3">
      <c r="A89" s="2" t="s">
        <v>28</v>
      </c>
      <c r="B89" s="2" t="s">
        <v>10</v>
      </c>
      <c r="C89" s="2" t="s">
        <v>24</v>
      </c>
      <c r="D89" s="2">
        <v>179</v>
      </c>
      <c r="E89" s="2">
        <v>194</v>
      </c>
      <c r="F89" s="2">
        <v>10</v>
      </c>
      <c r="G89" s="2">
        <v>257</v>
      </c>
      <c r="H89" s="2">
        <v>47288</v>
      </c>
      <c r="I89" s="2" t="s">
        <v>12</v>
      </c>
      <c r="J89" s="2">
        <f t="shared" si="1"/>
        <v>184</v>
      </c>
    </row>
    <row r="90" spans="1:10" x14ac:dyDescent="0.3">
      <c r="A90" s="1" t="s">
        <v>20</v>
      </c>
      <c r="B90" s="1" t="s">
        <v>16</v>
      </c>
      <c r="C90" s="1" t="s">
        <v>13</v>
      </c>
      <c r="D90" s="1">
        <v>63</v>
      </c>
      <c r="E90" s="1">
        <v>73</v>
      </c>
      <c r="F90" s="1">
        <v>5</v>
      </c>
      <c r="G90" s="1">
        <v>67</v>
      </c>
      <c r="H90" s="1">
        <v>4556</v>
      </c>
      <c r="I90" s="1" t="s">
        <v>12</v>
      </c>
      <c r="J90" s="1">
        <f t="shared" si="1"/>
        <v>68</v>
      </c>
    </row>
    <row r="91" spans="1:10" x14ac:dyDescent="0.3">
      <c r="A91" s="2" t="s">
        <v>20</v>
      </c>
      <c r="B91" s="2" t="s">
        <v>16</v>
      </c>
      <c r="C91" s="2" t="s">
        <v>17</v>
      </c>
      <c r="D91" s="2">
        <v>136</v>
      </c>
      <c r="E91" s="2">
        <v>136</v>
      </c>
      <c r="F91" s="2">
        <v>10</v>
      </c>
      <c r="G91" s="2">
        <v>286</v>
      </c>
      <c r="H91" s="2">
        <v>36036</v>
      </c>
      <c r="I91" s="2" t="s">
        <v>12</v>
      </c>
      <c r="J91" s="2">
        <f t="shared" si="1"/>
        <v>126</v>
      </c>
    </row>
    <row r="92" spans="1:10" x14ac:dyDescent="0.3">
      <c r="A92" s="1" t="s">
        <v>20</v>
      </c>
      <c r="B92" s="1" t="s">
        <v>16</v>
      </c>
      <c r="C92" s="1" t="s">
        <v>17</v>
      </c>
      <c r="D92" s="1">
        <v>165</v>
      </c>
      <c r="E92" s="1">
        <v>175</v>
      </c>
      <c r="F92" s="1">
        <v>5</v>
      </c>
      <c r="G92" s="1">
        <v>211</v>
      </c>
      <c r="H92" s="1">
        <v>35870</v>
      </c>
      <c r="I92" s="1" t="s">
        <v>12</v>
      </c>
      <c r="J92" s="1">
        <f t="shared" si="1"/>
        <v>170</v>
      </c>
    </row>
    <row r="93" spans="1:10" x14ac:dyDescent="0.3">
      <c r="A93" s="2" t="s">
        <v>29</v>
      </c>
      <c r="B93" s="2" t="s">
        <v>19</v>
      </c>
      <c r="C93" s="2" t="s">
        <v>25</v>
      </c>
      <c r="D93" s="2">
        <v>50</v>
      </c>
      <c r="E93" s="2">
        <v>60</v>
      </c>
      <c r="F93" s="2">
        <v>10</v>
      </c>
      <c r="G93" s="2">
        <v>270</v>
      </c>
      <c r="H93" s="2">
        <v>13500</v>
      </c>
      <c r="I93" s="2" t="s">
        <v>12</v>
      </c>
      <c r="J93" s="2">
        <f t="shared" si="1"/>
        <v>50</v>
      </c>
    </row>
    <row r="94" spans="1:10" x14ac:dyDescent="0.3">
      <c r="A94" s="1" t="s">
        <v>31</v>
      </c>
      <c r="B94" s="1" t="s">
        <v>32</v>
      </c>
      <c r="C94" s="1" t="s">
        <v>25</v>
      </c>
      <c r="D94" s="1">
        <v>180</v>
      </c>
      <c r="E94" s="1">
        <v>185</v>
      </c>
      <c r="F94" s="1">
        <v>10</v>
      </c>
      <c r="G94" s="1">
        <v>163</v>
      </c>
      <c r="H94" s="1">
        <v>28525</v>
      </c>
      <c r="I94" s="1" t="s">
        <v>12</v>
      </c>
      <c r="J94" s="1">
        <f t="shared" si="1"/>
        <v>175</v>
      </c>
    </row>
    <row r="95" spans="1:10" x14ac:dyDescent="0.3">
      <c r="A95" s="2" t="s">
        <v>18</v>
      </c>
      <c r="B95" s="2" t="s">
        <v>19</v>
      </c>
      <c r="C95" s="2" t="s">
        <v>17</v>
      </c>
      <c r="D95" s="2">
        <v>32</v>
      </c>
      <c r="E95" s="2">
        <v>47</v>
      </c>
      <c r="F95" s="2">
        <v>10</v>
      </c>
      <c r="G95" s="2">
        <v>120</v>
      </c>
      <c r="H95" s="2">
        <v>4440</v>
      </c>
      <c r="I95" s="2" t="s">
        <v>12</v>
      </c>
      <c r="J95" s="2">
        <f t="shared" si="1"/>
        <v>37</v>
      </c>
    </row>
    <row r="96" spans="1:10" x14ac:dyDescent="0.3">
      <c r="A96" s="1" t="s">
        <v>15</v>
      </c>
      <c r="B96" s="1" t="s">
        <v>16</v>
      </c>
      <c r="C96" s="1" t="s">
        <v>13</v>
      </c>
      <c r="D96" s="1">
        <v>97</v>
      </c>
      <c r="E96" s="1">
        <v>112</v>
      </c>
      <c r="F96" s="1">
        <v>0</v>
      </c>
      <c r="G96" s="1">
        <v>187</v>
      </c>
      <c r="H96" s="1">
        <v>20944</v>
      </c>
      <c r="I96" s="1" t="s">
        <v>12</v>
      </c>
      <c r="J96" s="1">
        <f t="shared" si="1"/>
        <v>112</v>
      </c>
    </row>
    <row r="97" spans="1:10" x14ac:dyDescent="0.3">
      <c r="A97" s="2" t="s">
        <v>18</v>
      </c>
      <c r="B97" s="2" t="s">
        <v>19</v>
      </c>
      <c r="C97" s="2" t="s">
        <v>11</v>
      </c>
      <c r="D97" s="2">
        <v>181</v>
      </c>
      <c r="E97" s="2">
        <v>186</v>
      </c>
      <c r="F97" s="2">
        <v>0</v>
      </c>
      <c r="G97" s="2">
        <v>54</v>
      </c>
      <c r="H97" s="2">
        <v>10044</v>
      </c>
      <c r="I97" s="2" t="s">
        <v>12</v>
      </c>
      <c r="J97" s="2">
        <f t="shared" si="1"/>
        <v>186</v>
      </c>
    </row>
    <row r="98" spans="1:10" x14ac:dyDescent="0.3">
      <c r="A98" s="1" t="s">
        <v>18</v>
      </c>
      <c r="B98" s="1" t="s">
        <v>19</v>
      </c>
      <c r="C98" s="1" t="s">
        <v>21</v>
      </c>
      <c r="D98" s="1">
        <v>184</v>
      </c>
      <c r="E98" s="1">
        <v>194</v>
      </c>
      <c r="F98" s="1">
        <v>10</v>
      </c>
      <c r="G98" s="1">
        <v>86</v>
      </c>
      <c r="H98" s="1">
        <v>15824</v>
      </c>
      <c r="I98" s="1" t="s">
        <v>12</v>
      </c>
      <c r="J98" s="1">
        <f t="shared" si="1"/>
        <v>184</v>
      </c>
    </row>
    <row r="99" spans="1:10" x14ac:dyDescent="0.3">
      <c r="A99" s="2" t="s">
        <v>18</v>
      </c>
      <c r="B99" s="2" t="s">
        <v>19</v>
      </c>
      <c r="C99" s="2" t="s">
        <v>13</v>
      </c>
      <c r="D99" s="2">
        <v>57</v>
      </c>
      <c r="E99" s="2">
        <v>62</v>
      </c>
      <c r="F99" s="2">
        <v>10</v>
      </c>
      <c r="G99" s="2">
        <v>236</v>
      </c>
      <c r="H99" s="2">
        <v>12272</v>
      </c>
      <c r="I99" s="2" t="s">
        <v>12</v>
      </c>
      <c r="J99" s="2">
        <f t="shared" si="1"/>
        <v>52</v>
      </c>
    </row>
    <row r="100" spans="1:10" x14ac:dyDescent="0.3">
      <c r="A100" s="1" t="s">
        <v>29</v>
      </c>
      <c r="B100" s="1" t="s">
        <v>19</v>
      </c>
      <c r="C100" s="1" t="s">
        <v>24</v>
      </c>
      <c r="D100" s="1">
        <v>50</v>
      </c>
      <c r="E100" s="1">
        <v>50</v>
      </c>
      <c r="F100" s="1">
        <v>5</v>
      </c>
      <c r="G100" s="1">
        <v>163</v>
      </c>
      <c r="H100" s="1">
        <v>7335</v>
      </c>
      <c r="I100" s="1" t="s">
        <v>14</v>
      </c>
      <c r="J100" s="1">
        <f t="shared" si="1"/>
        <v>45</v>
      </c>
    </row>
    <row r="101" spans="1:10" x14ac:dyDescent="0.3">
      <c r="A101" s="2" t="s">
        <v>28</v>
      </c>
      <c r="B101" s="2" t="s">
        <v>10</v>
      </c>
      <c r="C101" s="2" t="s">
        <v>17</v>
      </c>
      <c r="D101" s="2">
        <v>115</v>
      </c>
      <c r="E101" s="2">
        <v>120</v>
      </c>
      <c r="F101" s="2">
        <v>0</v>
      </c>
      <c r="G101" s="2">
        <v>122</v>
      </c>
      <c r="H101" s="2">
        <v>14640</v>
      </c>
      <c r="I101" s="2" t="s">
        <v>12</v>
      </c>
      <c r="J101" s="2">
        <f t="shared" si="1"/>
        <v>120</v>
      </c>
    </row>
    <row r="102" spans="1:10" x14ac:dyDescent="0.3">
      <c r="A102" s="1" t="s">
        <v>15</v>
      </c>
      <c r="B102" s="1" t="s">
        <v>16</v>
      </c>
      <c r="C102" s="1" t="s">
        <v>24</v>
      </c>
      <c r="D102" s="1">
        <v>120</v>
      </c>
      <c r="E102" s="1">
        <v>135</v>
      </c>
      <c r="F102" s="1">
        <v>0</v>
      </c>
      <c r="G102" s="1">
        <v>138</v>
      </c>
      <c r="H102" s="1">
        <v>18630</v>
      </c>
      <c r="I102" s="1" t="s">
        <v>14</v>
      </c>
      <c r="J102" s="1">
        <f t="shared" si="1"/>
        <v>135</v>
      </c>
    </row>
    <row r="103" spans="1:10" x14ac:dyDescent="0.3">
      <c r="A103" s="2" t="s">
        <v>18</v>
      </c>
      <c r="B103" s="2" t="s">
        <v>19</v>
      </c>
      <c r="C103" s="2" t="s">
        <v>11</v>
      </c>
      <c r="D103" s="2">
        <v>125</v>
      </c>
      <c r="E103" s="2">
        <v>125</v>
      </c>
      <c r="F103" s="2">
        <v>0</v>
      </c>
      <c r="G103" s="2">
        <v>146</v>
      </c>
      <c r="H103" s="2">
        <v>18250</v>
      </c>
      <c r="I103" s="2" t="s">
        <v>14</v>
      </c>
      <c r="J103" s="2">
        <f t="shared" si="1"/>
        <v>125</v>
      </c>
    </row>
    <row r="104" spans="1:10" x14ac:dyDescent="0.3">
      <c r="A104" s="1" t="s">
        <v>30</v>
      </c>
      <c r="B104" s="1" t="s">
        <v>10</v>
      </c>
      <c r="C104" s="1" t="s">
        <v>24</v>
      </c>
      <c r="D104" s="1">
        <v>148</v>
      </c>
      <c r="E104" s="1">
        <v>153</v>
      </c>
      <c r="F104" s="1">
        <v>0</v>
      </c>
      <c r="G104" s="1">
        <v>171</v>
      </c>
      <c r="H104" s="1">
        <v>26163</v>
      </c>
      <c r="I104" s="1" t="s">
        <v>14</v>
      </c>
      <c r="J104" s="1">
        <f t="shared" si="1"/>
        <v>153</v>
      </c>
    </row>
    <row r="105" spans="1:10" x14ac:dyDescent="0.3">
      <c r="A105" s="2" t="s">
        <v>15</v>
      </c>
      <c r="B105" s="2" t="s">
        <v>16</v>
      </c>
      <c r="C105" s="2" t="s">
        <v>17</v>
      </c>
      <c r="D105" s="2">
        <v>73</v>
      </c>
      <c r="E105" s="2">
        <v>78</v>
      </c>
      <c r="F105" s="2">
        <v>5</v>
      </c>
      <c r="G105" s="2">
        <v>82</v>
      </c>
      <c r="H105" s="2">
        <v>5986</v>
      </c>
      <c r="I105" s="2" t="s">
        <v>12</v>
      </c>
      <c r="J105" s="2">
        <f t="shared" si="1"/>
        <v>73</v>
      </c>
    </row>
    <row r="106" spans="1:10" x14ac:dyDescent="0.3">
      <c r="A106" s="1" t="s">
        <v>26</v>
      </c>
      <c r="B106" s="1" t="s">
        <v>27</v>
      </c>
      <c r="C106" s="1" t="s">
        <v>11</v>
      </c>
      <c r="D106" s="1">
        <v>31</v>
      </c>
      <c r="E106" s="1">
        <v>46</v>
      </c>
      <c r="F106" s="1">
        <v>10</v>
      </c>
      <c r="G106" s="1">
        <v>109</v>
      </c>
      <c r="H106" s="1">
        <v>3924</v>
      </c>
      <c r="I106" s="1" t="s">
        <v>12</v>
      </c>
      <c r="J106" s="1">
        <f t="shared" si="1"/>
        <v>36</v>
      </c>
    </row>
    <row r="107" spans="1:10" x14ac:dyDescent="0.3">
      <c r="A107" s="2" t="s">
        <v>22</v>
      </c>
      <c r="B107" s="2" t="s">
        <v>23</v>
      </c>
      <c r="C107" s="2" t="s">
        <v>21</v>
      </c>
      <c r="D107" s="2">
        <v>199</v>
      </c>
      <c r="E107" s="2">
        <v>204</v>
      </c>
      <c r="F107" s="2">
        <v>0</v>
      </c>
      <c r="G107" s="2">
        <v>269</v>
      </c>
      <c r="H107" s="2">
        <v>54876</v>
      </c>
      <c r="I107" s="2" t="s">
        <v>12</v>
      </c>
      <c r="J107" s="2">
        <f t="shared" si="1"/>
        <v>204</v>
      </c>
    </row>
    <row r="108" spans="1:10" x14ac:dyDescent="0.3">
      <c r="A108" s="1" t="s">
        <v>18</v>
      </c>
      <c r="B108" s="1" t="s">
        <v>19</v>
      </c>
      <c r="C108" s="1" t="s">
        <v>17</v>
      </c>
      <c r="D108" s="1">
        <v>184</v>
      </c>
      <c r="E108" s="1">
        <v>199</v>
      </c>
      <c r="F108" s="1">
        <v>5</v>
      </c>
      <c r="G108" s="1">
        <v>69</v>
      </c>
      <c r="H108" s="1">
        <v>13386</v>
      </c>
      <c r="I108" s="1" t="s">
        <v>12</v>
      </c>
      <c r="J108" s="1">
        <f t="shared" si="1"/>
        <v>194</v>
      </c>
    </row>
    <row r="109" spans="1:10" x14ac:dyDescent="0.3">
      <c r="A109" s="2" t="s">
        <v>31</v>
      </c>
      <c r="B109" s="2" t="s">
        <v>32</v>
      </c>
      <c r="C109" s="2" t="s">
        <v>17</v>
      </c>
      <c r="D109" s="2">
        <v>151</v>
      </c>
      <c r="E109" s="2">
        <v>151</v>
      </c>
      <c r="F109" s="2">
        <v>0</v>
      </c>
      <c r="G109" s="2">
        <v>57</v>
      </c>
      <c r="H109" s="2">
        <v>8607</v>
      </c>
      <c r="I109" s="2" t="s">
        <v>12</v>
      </c>
      <c r="J109" s="2">
        <f t="shared" si="1"/>
        <v>151</v>
      </c>
    </row>
    <row r="110" spans="1:10" x14ac:dyDescent="0.3">
      <c r="A110" s="1" t="s">
        <v>15</v>
      </c>
      <c r="B110" s="1" t="s">
        <v>16</v>
      </c>
      <c r="C110" s="1" t="s">
        <v>17</v>
      </c>
      <c r="D110" s="1">
        <v>23</v>
      </c>
      <c r="E110" s="1">
        <v>28</v>
      </c>
      <c r="F110" s="1">
        <v>5</v>
      </c>
      <c r="G110" s="1">
        <v>276</v>
      </c>
      <c r="H110" s="1">
        <v>6348</v>
      </c>
      <c r="I110" s="1" t="s">
        <v>14</v>
      </c>
      <c r="J110" s="1">
        <f t="shared" si="1"/>
        <v>23</v>
      </c>
    </row>
    <row r="111" spans="1:10" x14ac:dyDescent="0.3">
      <c r="A111" s="2" t="s">
        <v>29</v>
      </c>
      <c r="B111" s="2" t="s">
        <v>19</v>
      </c>
      <c r="C111" s="2" t="s">
        <v>21</v>
      </c>
      <c r="D111" s="2">
        <v>83</v>
      </c>
      <c r="E111" s="2">
        <v>93</v>
      </c>
      <c r="F111" s="2">
        <v>10</v>
      </c>
      <c r="G111" s="2">
        <v>148</v>
      </c>
      <c r="H111" s="2">
        <v>12284</v>
      </c>
      <c r="I111" s="2" t="s">
        <v>12</v>
      </c>
      <c r="J111" s="2">
        <f t="shared" si="1"/>
        <v>83</v>
      </c>
    </row>
    <row r="112" spans="1:10" x14ac:dyDescent="0.3">
      <c r="A112" s="1" t="s">
        <v>18</v>
      </c>
      <c r="B112" s="1" t="s">
        <v>19</v>
      </c>
      <c r="C112" s="1" t="s">
        <v>24</v>
      </c>
      <c r="D112" s="1">
        <v>138</v>
      </c>
      <c r="E112" s="1">
        <v>153</v>
      </c>
      <c r="F112" s="1">
        <v>10</v>
      </c>
      <c r="G112" s="1">
        <v>182</v>
      </c>
      <c r="H112" s="1">
        <v>26026</v>
      </c>
      <c r="I112" s="1" t="s">
        <v>12</v>
      </c>
      <c r="J112" s="1">
        <f t="shared" si="1"/>
        <v>143</v>
      </c>
    </row>
    <row r="113" spans="1:10" x14ac:dyDescent="0.3">
      <c r="A113" s="2" t="s">
        <v>28</v>
      </c>
      <c r="B113" s="2" t="s">
        <v>10</v>
      </c>
      <c r="C113" s="2" t="s">
        <v>24</v>
      </c>
      <c r="D113" s="2">
        <v>116</v>
      </c>
      <c r="E113" s="2">
        <v>131</v>
      </c>
      <c r="F113" s="2">
        <v>10</v>
      </c>
      <c r="G113" s="2">
        <v>283</v>
      </c>
      <c r="H113" s="2">
        <v>34243</v>
      </c>
      <c r="I113" s="2" t="s">
        <v>12</v>
      </c>
      <c r="J113" s="2">
        <f t="shared" si="1"/>
        <v>121</v>
      </c>
    </row>
    <row r="114" spans="1:10" x14ac:dyDescent="0.3">
      <c r="A114" s="1" t="s">
        <v>9</v>
      </c>
      <c r="B114" s="1" t="s">
        <v>10</v>
      </c>
      <c r="C114" s="1" t="s">
        <v>11</v>
      </c>
      <c r="D114" s="1">
        <v>98</v>
      </c>
      <c r="E114" s="1">
        <v>113</v>
      </c>
      <c r="F114" s="1">
        <v>10</v>
      </c>
      <c r="G114" s="1">
        <v>233</v>
      </c>
      <c r="H114" s="1">
        <v>23999</v>
      </c>
      <c r="I114" s="1" t="s">
        <v>12</v>
      </c>
      <c r="J114" s="1">
        <f t="shared" si="1"/>
        <v>103</v>
      </c>
    </row>
    <row r="115" spans="1:10" x14ac:dyDescent="0.3">
      <c r="A115" s="2" t="s">
        <v>28</v>
      </c>
      <c r="B115" s="2" t="s">
        <v>10</v>
      </c>
      <c r="C115" s="2" t="s">
        <v>21</v>
      </c>
      <c r="D115" s="2">
        <v>176</v>
      </c>
      <c r="E115" s="2">
        <v>186</v>
      </c>
      <c r="F115" s="2">
        <v>0</v>
      </c>
      <c r="G115" s="2">
        <v>150</v>
      </c>
      <c r="H115" s="2">
        <v>27900</v>
      </c>
      <c r="I115" s="2" t="s">
        <v>12</v>
      </c>
      <c r="J115" s="2">
        <f t="shared" si="1"/>
        <v>186</v>
      </c>
    </row>
    <row r="116" spans="1:10" x14ac:dyDescent="0.3">
      <c r="A116" s="1" t="s">
        <v>31</v>
      </c>
      <c r="B116" s="1" t="s">
        <v>32</v>
      </c>
      <c r="C116" s="1" t="s">
        <v>17</v>
      </c>
      <c r="D116" s="1">
        <v>65</v>
      </c>
      <c r="E116" s="1">
        <v>75</v>
      </c>
      <c r="F116" s="1">
        <v>5</v>
      </c>
      <c r="G116" s="1">
        <v>168</v>
      </c>
      <c r="H116" s="1">
        <v>11760</v>
      </c>
      <c r="I116" s="1" t="s">
        <v>12</v>
      </c>
      <c r="J116" s="1">
        <f t="shared" si="1"/>
        <v>70</v>
      </c>
    </row>
    <row r="117" spans="1:10" x14ac:dyDescent="0.3">
      <c r="A117" s="2" t="s">
        <v>18</v>
      </c>
      <c r="B117" s="2" t="s">
        <v>19</v>
      </c>
      <c r="C117" s="2" t="s">
        <v>17</v>
      </c>
      <c r="D117" s="2">
        <v>48</v>
      </c>
      <c r="E117" s="2">
        <v>53</v>
      </c>
      <c r="F117" s="2">
        <v>0</v>
      </c>
      <c r="G117" s="2">
        <v>192</v>
      </c>
      <c r="H117" s="2">
        <v>10176</v>
      </c>
      <c r="I117" s="2" t="s">
        <v>12</v>
      </c>
      <c r="J117" s="2">
        <f t="shared" si="1"/>
        <v>53</v>
      </c>
    </row>
    <row r="118" spans="1:10" x14ac:dyDescent="0.3">
      <c r="A118" s="1" t="s">
        <v>29</v>
      </c>
      <c r="B118" s="1" t="s">
        <v>19</v>
      </c>
      <c r="C118" s="1" t="s">
        <v>13</v>
      </c>
      <c r="D118" s="1">
        <v>101</v>
      </c>
      <c r="E118" s="1">
        <v>101</v>
      </c>
      <c r="F118" s="1">
        <v>5</v>
      </c>
      <c r="G118" s="1">
        <v>294</v>
      </c>
      <c r="H118" s="1">
        <v>28224</v>
      </c>
      <c r="I118" s="1" t="s">
        <v>14</v>
      </c>
      <c r="J118" s="1">
        <f t="shared" si="1"/>
        <v>96</v>
      </c>
    </row>
    <row r="119" spans="1:10" x14ac:dyDescent="0.3">
      <c r="A119" s="2" t="s">
        <v>30</v>
      </c>
      <c r="B119" s="2" t="s">
        <v>10</v>
      </c>
      <c r="C119" s="2" t="s">
        <v>24</v>
      </c>
      <c r="D119" s="2">
        <v>75</v>
      </c>
      <c r="E119" s="2">
        <v>90</v>
      </c>
      <c r="F119" s="2">
        <v>10</v>
      </c>
      <c r="G119" s="2">
        <v>55</v>
      </c>
      <c r="H119" s="2">
        <v>4400</v>
      </c>
      <c r="I119" s="2" t="s">
        <v>12</v>
      </c>
      <c r="J119" s="2">
        <f t="shared" si="1"/>
        <v>80</v>
      </c>
    </row>
    <row r="120" spans="1:10" x14ac:dyDescent="0.3">
      <c r="A120" s="1" t="s">
        <v>9</v>
      </c>
      <c r="B120" s="1" t="s">
        <v>10</v>
      </c>
      <c r="C120" s="1" t="s">
        <v>24</v>
      </c>
      <c r="D120" s="1">
        <v>132</v>
      </c>
      <c r="E120" s="1">
        <v>132</v>
      </c>
      <c r="F120" s="1">
        <v>0</v>
      </c>
      <c r="G120" s="1">
        <v>255</v>
      </c>
      <c r="H120" s="1">
        <v>33660</v>
      </c>
      <c r="I120" s="1" t="s">
        <v>12</v>
      </c>
      <c r="J120" s="1">
        <f t="shared" si="1"/>
        <v>132</v>
      </c>
    </row>
    <row r="121" spans="1:10" x14ac:dyDescent="0.3">
      <c r="A121" s="2" t="s">
        <v>30</v>
      </c>
      <c r="B121" s="2" t="s">
        <v>10</v>
      </c>
      <c r="C121" s="2" t="s">
        <v>17</v>
      </c>
      <c r="D121" s="2">
        <v>140</v>
      </c>
      <c r="E121" s="2">
        <v>155</v>
      </c>
      <c r="F121" s="2">
        <v>10</v>
      </c>
      <c r="G121" s="2">
        <v>85</v>
      </c>
      <c r="H121" s="2">
        <v>12325</v>
      </c>
      <c r="I121" s="2" t="s">
        <v>12</v>
      </c>
      <c r="J121" s="2">
        <f t="shared" si="1"/>
        <v>145</v>
      </c>
    </row>
    <row r="122" spans="1:10" x14ac:dyDescent="0.3">
      <c r="A122" s="1" t="s">
        <v>31</v>
      </c>
      <c r="B122" s="1" t="s">
        <v>32</v>
      </c>
      <c r="C122" s="1" t="s">
        <v>11</v>
      </c>
      <c r="D122" s="1">
        <v>87</v>
      </c>
      <c r="E122" s="1">
        <v>87</v>
      </c>
      <c r="F122" s="1">
        <v>10</v>
      </c>
      <c r="G122" s="1">
        <v>199</v>
      </c>
      <c r="H122" s="1">
        <v>15323</v>
      </c>
      <c r="I122" s="1" t="s">
        <v>12</v>
      </c>
      <c r="J122" s="1">
        <f t="shared" si="1"/>
        <v>77</v>
      </c>
    </row>
    <row r="123" spans="1:10" x14ac:dyDescent="0.3">
      <c r="A123" s="2" t="s">
        <v>30</v>
      </c>
      <c r="B123" s="2" t="s">
        <v>10</v>
      </c>
      <c r="C123" s="2" t="s">
        <v>17</v>
      </c>
      <c r="D123" s="2">
        <v>187</v>
      </c>
      <c r="E123" s="2">
        <v>187</v>
      </c>
      <c r="F123" s="2">
        <v>0</v>
      </c>
      <c r="G123" s="2">
        <v>131</v>
      </c>
      <c r="H123" s="2">
        <v>24497</v>
      </c>
      <c r="I123" s="2" t="s">
        <v>12</v>
      </c>
      <c r="J123" s="2">
        <f t="shared" si="1"/>
        <v>187</v>
      </c>
    </row>
    <row r="124" spans="1:10" x14ac:dyDescent="0.3">
      <c r="A124" s="1" t="s">
        <v>22</v>
      </c>
      <c r="B124" s="1" t="s">
        <v>23</v>
      </c>
      <c r="C124" s="1" t="s">
        <v>24</v>
      </c>
      <c r="D124" s="1">
        <v>156</v>
      </c>
      <c r="E124" s="1">
        <v>166</v>
      </c>
      <c r="F124" s="1">
        <v>10</v>
      </c>
      <c r="G124" s="1">
        <v>144</v>
      </c>
      <c r="H124" s="1">
        <v>22464</v>
      </c>
      <c r="I124" s="1" t="s">
        <v>12</v>
      </c>
      <c r="J124" s="1">
        <f t="shared" si="1"/>
        <v>156</v>
      </c>
    </row>
    <row r="125" spans="1:10" x14ac:dyDescent="0.3">
      <c r="A125" s="2" t="s">
        <v>26</v>
      </c>
      <c r="B125" s="2" t="s">
        <v>27</v>
      </c>
      <c r="C125" s="2" t="s">
        <v>24</v>
      </c>
      <c r="D125" s="2">
        <v>174</v>
      </c>
      <c r="E125" s="2">
        <v>189</v>
      </c>
      <c r="F125" s="2">
        <v>5</v>
      </c>
      <c r="G125" s="2">
        <v>162</v>
      </c>
      <c r="H125" s="2">
        <v>29808</v>
      </c>
      <c r="I125" s="2" t="s">
        <v>12</v>
      </c>
      <c r="J125" s="2">
        <f t="shared" si="1"/>
        <v>184</v>
      </c>
    </row>
    <row r="126" spans="1:10" x14ac:dyDescent="0.3">
      <c r="A126" s="1" t="s">
        <v>22</v>
      </c>
      <c r="B126" s="1" t="s">
        <v>23</v>
      </c>
      <c r="C126" s="1" t="s">
        <v>24</v>
      </c>
      <c r="D126" s="1">
        <v>135</v>
      </c>
      <c r="E126" s="1">
        <v>145</v>
      </c>
      <c r="F126" s="1">
        <v>10</v>
      </c>
      <c r="G126" s="1">
        <v>71</v>
      </c>
      <c r="H126" s="1">
        <v>9585</v>
      </c>
      <c r="I126" s="1" t="s">
        <v>12</v>
      </c>
      <c r="J126" s="1">
        <f t="shared" si="1"/>
        <v>135</v>
      </c>
    </row>
    <row r="127" spans="1:10" x14ac:dyDescent="0.3">
      <c r="A127" s="2" t="s">
        <v>31</v>
      </c>
      <c r="B127" s="2" t="s">
        <v>32</v>
      </c>
      <c r="C127" s="2" t="s">
        <v>17</v>
      </c>
      <c r="D127" s="2">
        <v>77</v>
      </c>
      <c r="E127" s="2">
        <v>92</v>
      </c>
      <c r="F127" s="2">
        <v>10</v>
      </c>
      <c r="G127" s="2">
        <v>50</v>
      </c>
      <c r="H127" s="2">
        <v>4100</v>
      </c>
      <c r="I127" s="2" t="s">
        <v>12</v>
      </c>
      <c r="J127" s="2">
        <f t="shared" si="1"/>
        <v>82</v>
      </c>
    </row>
    <row r="128" spans="1:10" x14ac:dyDescent="0.3">
      <c r="A128" s="1" t="s">
        <v>29</v>
      </c>
      <c r="B128" s="1" t="s">
        <v>19</v>
      </c>
      <c r="C128" s="1" t="s">
        <v>25</v>
      </c>
      <c r="D128" s="1">
        <v>80</v>
      </c>
      <c r="E128" s="1">
        <v>90</v>
      </c>
      <c r="F128" s="1">
        <v>5</v>
      </c>
      <c r="G128" s="1">
        <v>249</v>
      </c>
      <c r="H128" s="1">
        <v>21165</v>
      </c>
      <c r="I128" s="1" t="s">
        <v>12</v>
      </c>
      <c r="J128" s="1">
        <f t="shared" si="1"/>
        <v>85</v>
      </c>
    </row>
    <row r="129" spans="1:10" x14ac:dyDescent="0.3">
      <c r="A129" s="2" t="s">
        <v>31</v>
      </c>
      <c r="B129" s="2" t="s">
        <v>32</v>
      </c>
      <c r="C129" s="2" t="s">
        <v>17</v>
      </c>
      <c r="D129" s="2">
        <v>84</v>
      </c>
      <c r="E129" s="2">
        <v>84</v>
      </c>
      <c r="F129" s="2">
        <v>10</v>
      </c>
      <c r="G129" s="2">
        <v>272</v>
      </c>
      <c r="H129" s="2">
        <v>20128</v>
      </c>
      <c r="I129" s="2" t="s">
        <v>12</v>
      </c>
      <c r="J129" s="2">
        <f t="shared" si="1"/>
        <v>74</v>
      </c>
    </row>
    <row r="130" spans="1:10" x14ac:dyDescent="0.3">
      <c r="A130" s="1" t="s">
        <v>26</v>
      </c>
      <c r="B130" s="1" t="s">
        <v>27</v>
      </c>
      <c r="C130" s="1" t="s">
        <v>25</v>
      </c>
      <c r="D130" s="1">
        <v>94</v>
      </c>
      <c r="E130" s="1">
        <v>94</v>
      </c>
      <c r="F130" s="1">
        <v>5</v>
      </c>
      <c r="G130" s="1">
        <v>219</v>
      </c>
      <c r="H130" s="1">
        <v>19491</v>
      </c>
      <c r="I130" s="1" t="s">
        <v>14</v>
      </c>
      <c r="J130" s="1">
        <f t="shared" si="1"/>
        <v>89</v>
      </c>
    </row>
    <row r="131" spans="1:10" x14ac:dyDescent="0.3">
      <c r="A131" s="2" t="s">
        <v>26</v>
      </c>
      <c r="B131" s="2" t="s">
        <v>27</v>
      </c>
      <c r="C131" s="2" t="s">
        <v>24</v>
      </c>
      <c r="D131" s="2">
        <v>88</v>
      </c>
      <c r="E131" s="2">
        <v>103</v>
      </c>
      <c r="F131" s="2">
        <v>0</v>
      </c>
      <c r="G131" s="2">
        <v>237</v>
      </c>
      <c r="H131" s="2">
        <v>24411</v>
      </c>
      <c r="I131" s="2" t="s">
        <v>14</v>
      </c>
      <c r="J131" s="2">
        <f t="shared" ref="J131:J194" si="2">H131/G131</f>
        <v>103</v>
      </c>
    </row>
    <row r="132" spans="1:10" x14ac:dyDescent="0.3">
      <c r="A132" s="1" t="s">
        <v>22</v>
      </c>
      <c r="B132" s="1" t="s">
        <v>23</v>
      </c>
      <c r="C132" s="1" t="s">
        <v>13</v>
      </c>
      <c r="D132" s="1">
        <v>169</v>
      </c>
      <c r="E132" s="1">
        <v>184</v>
      </c>
      <c r="F132" s="1">
        <v>10</v>
      </c>
      <c r="G132" s="1">
        <v>267</v>
      </c>
      <c r="H132" s="1">
        <v>46458</v>
      </c>
      <c r="I132" s="1" t="s">
        <v>12</v>
      </c>
      <c r="J132" s="1">
        <f t="shared" si="2"/>
        <v>174</v>
      </c>
    </row>
    <row r="133" spans="1:10" x14ac:dyDescent="0.3">
      <c r="A133" s="2" t="s">
        <v>28</v>
      </c>
      <c r="B133" s="2" t="s">
        <v>10</v>
      </c>
      <c r="C133" s="2" t="s">
        <v>21</v>
      </c>
      <c r="D133" s="2">
        <v>101</v>
      </c>
      <c r="E133" s="2">
        <v>101</v>
      </c>
      <c r="F133" s="2">
        <v>0</v>
      </c>
      <c r="G133" s="2">
        <v>107</v>
      </c>
      <c r="H133" s="2">
        <v>10807</v>
      </c>
      <c r="I133" s="2" t="s">
        <v>12</v>
      </c>
      <c r="J133" s="2">
        <f t="shared" si="2"/>
        <v>101</v>
      </c>
    </row>
    <row r="134" spans="1:10" x14ac:dyDescent="0.3">
      <c r="A134" s="1" t="s">
        <v>20</v>
      </c>
      <c r="B134" s="1" t="s">
        <v>16</v>
      </c>
      <c r="C134" s="1" t="s">
        <v>17</v>
      </c>
      <c r="D134" s="1">
        <v>141</v>
      </c>
      <c r="E134" s="1">
        <v>141</v>
      </c>
      <c r="F134" s="1">
        <v>0</v>
      </c>
      <c r="G134" s="1">
        <v>150</v>
      </c>
      <c r="H134" s="1">
        <v>21150</v>
      </c>
      <c r="I134" s="1" t="s">
        <v>14</v>
      </c>
      <c r="J134" s="1">
        <f t="shared" si="2"/>
        <v>141</v>
      </c>
    </row>
    <row r="135" spans="1:10" x14ac:dyDescent="0.3">
      <c r="A135" s="2" t="s">
        <v>20</v>
      </c>
      <c r="B135" s="2" t="s">
        <v>16</v>
      </c>
      <c r="C135" s="2" t="s">
        <v>17</v>
      </c>
      <c r="D135" s="2">
        <v>78</v>
      </c>
      <c r="E135" s="2">
        <v>93</v>
      </c>
      <c r="F135" s="2">
        <v>0</v>
      </c>
      <c r="G135" s="2">
        <v>255</v>
      </c>
      <c r="H135" s="2">
        <v>23715</v>
      </c>
      <c r="I135" s="2" t="s">
        <v>12</v>
      </c>
      <c r="J135" s="2">
        <f t="shared" si="2"/>
        <v>93</v>
      </c>
    </row>
    <row r="136" spans="1:10" x14ac:dyDescent="0.3">
      <c r="A136" s="1" t="s">
        <v>9</v>
      </c>
      <c r="B136" s="1" t="s">
        <v>10</v>
      </c>
      <c r="C136" s="1" t="s">
        <v>11</v>
      </c>
      <c r="D136" s="1">
        <v>181</v>
      </c>
      <c r="E136" s="1">
        <v>186</v>
      </c>
      <c r="F136" s="1">
        <v>5</v>
      </c>
      <c r="G136" s="1">
        <v>88</v>
      </c>
      <c r="H136" s="1">
        <v>15928</v>
      </c>
      <c r="I136" s="1" t="s">
        <v>12</v>
      </c>
      <c r="J136" s="1">
        <f t="shared" si="2"/>
        <v>181</v>
      </c>
    </row>
    <row r="137" spans="1:10" x14ac:dyDescent="0.3">
      <c r="A137" s="2" t="s">
        <v>30</v>
      </c>
      <c r="B137" s="2" t="s">
        <v>10</v>
      </c>
      <c r="C137" s="2" t="s">
        <v>11</v>
      </c>
      <c r="D137" s="2">
        <v>134</v>
      </c>
      <c r="E137" s="2">
        <v>144</v>
      </c>
      <c r="F137" s="2">
        <v>0</v>
      </c>
      <c r="G137" s="2">
        <v>206</v>
      </c>
      <c r="H137" s="2">
        <v>29664</v>
      </c>
      <c r="I137" s="2" t="s">
        <v>12</v>
      </c>
      <c r="J137" s="2">
        <f t="shared" si="2"/>
        <v>144</v>
      </c>
    </row>
    <row r="138" spans="1:10" x14ac:dyDescent="0.3">
      <c r="A138" s="1" t="s">
        <v>18</v>
      </c>
      <c r="B138" s="1" t="s">
        <v>19</v>
      </c>
      <c r="C138" s="1" t="s">
        <v>25</v>
      </c>
      <c r="D138" s="1">
        <v>147</v>
      </c>
      <c r="E138" s="1">
        <v>152</v>
      </c>
      <c r="F138" s="1">
        <v>10</v>
      </c>
      <c r="G138" s="1">
        <v>122</v>
      </c>
      <c r="H138" s="1">
        <v>17324</v>
      </c>
      <c r="I138" s="1" t="s">
        <v>14</v>
      </c>
      <c r="J138" s="1">
        <f t="shared" si="2"/>
        <v>142</v>
      </c>
    </row>
    <row r="139" spans="1:10" x14ac:dyDescent="0.3">
      <c r="A139" s="2" t="s">
        <v>31</v>
      </c>
      <c r="B139" s="2" t="s">
        <v>32</v>
      </c>
      <c r="C139" s="2" t="s">
        <v>13</v>
      </c>
      <c r="D139" s="2">
        <v>27</v>
      </c>
      <c r="E139" s="2">
        <v>42</v>
      </c>
      <c r="F139" s="2">
        <v>10</v>
      </c>
      <c r="G139" s="2">
        <v>296</v>
      </c>
      <c r="H139" s="2">
        <v>9472</v>
      </c>
      <c r="I139" s="2" t="s">
        <v>12</v>
      </c>
      <c r="J139" s="2">
        <f t="shared" si="2"/>
        <v>32</v>
      </c>
    </row>
    <row r="140" spans="1:10" x14ac:dyDescent="0.3">
      <c r="A140" s="1" t="s">
        <v>31</v>
      </c>
      <c r="B140" s="1" t="s">
        <v>32</v>
      </c>
      <c r="C140" s="1" t="s">
        <v>21</v>
      </c>
      <c r="D140" s="1">
        <v>97</v>
      </c>
      <c r="E140" s="1">
        <v>107</v>
      </c>
      <c r="F140" s="1">
        <v>0</v>
      </c>
      <c r="G140" s="1">
        <v>55</v>
      </c>
      <c r="H140" s="1">
        <v>5885</v>
      </c>
      <c r="I140" s="1" t="s">
        <v>14</v>
      </c>
      <c r="J140" s="1">
        <f t="shared" si="2"/>
        <v>107</v>
      </c>
    </row>
    <row r="141" spans="1:10" x14ac:dyDescent="0.3">
      <c r="A141" s="2" t="s">
        <v>29</v>
      </c>
      <c r="B141" s="2" t="s">
        <v>19</v>
      </c>
      <c r="C141" s="2" t="s">
        <v>24</v>
      </c>
      <c r="D141" s="2">
        <v>183</v>
      </c>
      <c r="E141" s="2">
        <v>183</v>
      </c>
      <c r="F141" s="2">
        <v>0</v>
      </c>
      <c r="G141" s="2">
        <v>132</v>
      </c>
      <c r="H141" s="2">
        <v>24156</v>
      </c>
      <c r="I141" s="2" t="s">
        <v>12</v>
      </c>
      <c r="J141" s="2">
        <f t="shared" si="2"/>
        <v>183</v>
      </c>
    </row>
    <row r="142" spans="1:10" x14ac:dyDescent="0.3">
      <c r="A142" s="1" t="s">
        <v>29</v>
      </c>
      <c r="B142" s="1" t="s">
        <v>19</v>
      </c>
      <c r="C142" s="1" t="s">
        <v>25</v>
      </c>
      <c r="D142" s="1">
        <v>187</v>
      </c>
      <c r="E142" s="1">
        <v>202</v>
      </c>
      <c r="F142" s="1">
        <v>0</v>
      </c>
      <c r="G142" s="1">
        <v>124</v>
      </c>
      <c r="H142" s="1">
        <v>25048</v>
      </c>
      <c r="I142" s="1" t="s">
        <v>14</v>
      </c>
      <c r="J142" s="1">
        <f t="shared" si="2"/>
        <v>202</v>
      </c>
    </row>
    <row r="143" spans="1:10" x14ac:dyDescent="0.3">
      <c r="A143" s="2" t="s">
        <v>30</v>
      </c>
      <c r="B143" s="2" t="s">
        <v>10</v>
      </c>
      <c r="C143" s="2" t="s">
        <v>11</v>
      </c>
      <c r="D143" s="2">
        <v>64</v>
      </c>
      <c r="E143" s="2">
        <v>64</v>
      </c>
      <c r="F143" s="2">
        <v>10</v>
      </c>
      <c r="G143" s="2">
        <v>87</v>
      </c>
      <c r="H143" s="2">
        <v>4698</v>
      </c>
      <c r="I143" s="2" t="s">
        <v>12</v>
      </c>
      <c r="J143" s="2">
        <f t="shared" si="2"/>
        <v>54</v>
      </c>
    </row>
    <row r="144" spans="1:10" x14ac:dyDescent="0.3">
      <c r="A144" s="1" t="s">
        <v>30</v>
      </c>
      <c r="B144" s="1" t="s">
        <v>10</v>
      </c>
      <c r="C144" s="1" t="s">
        <v>17</v>
      </c>
      <c r="D144" s="1">
        <v>60</v>
      </c>
      <c r="E144" s="1">
        <v>65</v>
      </c>
      <c r="F144" s="1">
        <v>0</v>
      </c>
      <c r="G144" s="1">
        <v>246</v>
      </c>
      <c r="H144" s="1">
        <v>15990</v>
      </c>
      <c r="I144" s="1" t="s">
        <v>14</v>
      </c>
      <c r="J144" s="1">
        <f t="shared" si="2"/>
        <v>65</v>
      </c>
    </row>
    <row r="145" spans="1:10" x14ac:dyDescent="0.3">
      <c r="A145" s="2" t="s">
        <v>9</v>
      </c>
      <c r="B145" s="2" t="s">
        <v>10</v>
      </c>
      <c r="C145" s="2" t="s">
        <v>13</v>
      </c>
      <c r="D145" s="2">
        <v>81</v>
      </c>
      <c r="E145" s="2">
        <v>96</v>
      </c>
      <c r="F145" s="2">
        <v>5</v>
      </c>
      <c r="G145" s="2">
        <v>188</v>
      </c>
      <c r="H145" s="2">
        <v>17108</v>
      </c>
      <c r="I145" s="2" t="s">
        <v>12</v>
      </c>
      <c r="J145" s="2">
        <f t="shared" si="2"/>
        <v>91</v>
      </c>
    </row>
    <row r="146" spans="1:10" x14ac:dyDescent="0.3">
      <c r="A146" s="1" t="s">
        <v>18</v>
      </c>
      <c r="B146" s="1" t="s">
        <v>19</v>
      </c>
      <c r="C146" s="1" t="s">
        <v>21</v>
      </c>
      <c r="D146" s="1">
        <v>48</v>
      </c>
      <c r="E146" s="1">
        <v>63</v>
      </c>
      <c r="F146" s="1">
        <v>0</v>
      </c>
      <c r="G146" s="1">
        <v>52</v>
      </c>
      <c r="H146" s="1">
        <v>3276</v>
      </c>
      <c r="I146" s="1" t="s">
        <v>12</v>
      </c>
      <c r="J146" s="1">
        <f t="shared" si="2"/>
        <v>63</v>
      </c>
    </row>
    <row r="147" spans="1:10" x14ac:dyDescent="0.3">
      <c r="A147" s="2" t="s">
        <v>18</v>
      </c>
      <c r="B147" s="2" t="s">
        <v>19</v>
      </c>
      <c r="C147" s="2" t="s">
        <v>24</v>
      </c>
      <c r="D147" s="2">
        <v>44</v>
      </c>
      <c r="E147" s="2">
        <v>44</v>
      </c>
      <c r="F147" s="2">
        <v>5</v>
      </c>
      <c r="G147" s="2">
        <v>161</v>
      </c>
      <c r="H147" s="2">
        <v>6279</v>
      </c>
      <c r="I147" s="2" t="s">
        <v>14</v>
      </c>
      <c r="J147" s="2">
        <f t="shared" si="2"/>
        <v>39</v>
      </c>
    </row>
    <row r="148" spans="1:10" x14ac:dyDescent="0.3">
      <c r="A148" s="1" t="s">
        <v>22</v>
      </c>
      <c r="B148" s="1" t="s">
        <v>23</v>
      </c>
      <c r="C148" s="1" t="s">
        <v>21</v>
      </c>
      <c r="D148" s="1">
        <v>173</v>
      </c>
      <c r="E148" s="1">
        <v>188</v>
      </c>
      <c r="F148" s="1">
        <v>5</v>
      </c>
      <c r="G148" s="1">
        <v>86</v>
      </c>
      <c r="H148" s="1">
        <v>15738</v>
      </c>
      <c r="I148" s="1" t="s">
        <v>14</v>
      </c>
      <c r="J148" s="1">
        <f t="shared" si="2"/>
        <v>183</v>
      </c>
    </row>
    <row r="149" spans="1:10" x14ac:dyDescent="0.3">
      <c r="A149" s="2" t="s">
        <v>26</v>
      </c>
      <c r="B149" s="2" t="s">
        <v>27</v>
      </c>
      <c r="C149" s="2" t="s">
        <v>24</v>
      </c>
      <c r="D149" s="2">
        <v>42</v>
      </c>
      <c r="E149" s="2">
        <v>42</v>
      </c>
      <c r="F149" s="2">
        <v>10</v>
      </c>
      <c r="G149" s="2">
        <v>110</v>
      </c>
      <c r="H149" s="2">
        <v>3520</v>
      </c>
      <c r="I149" s="2" t="s">
        <v>12</v>
      </c>
      <c r="J149" s="2">
        <f t="shared" si="2"/>
        <v>32</v>
      </c>
    </row>
    <row r="150" spans="1:10" x14ac:dyDescent="0.3">
      <c r="A150" s="1" t="s">
        <v>30</v>
      </c>
      <c r="B150" s="1" t="s">
        <v>10</v>
      </c>
      <c r="C150" s="1" t="s">
        <v>21</v>
      </c>
      <c r="D150" s="1">
        <v>147</v>
      </c>
      <c r="E150" s="1">
        <v>147</v>
      </c>
      <c r="F150" s="1">
        <v>0</v>
      </c>
      <c r="G150" s="1">
        <v>284</v>
      </c>
      <c r="H150" s="1">
        <v>41748</v>
      </c>
      <c r="I150" s="1" t="s">
        <v>12</v>
      </c>
      <c r="J150" s="1">
        <f t="shared" si="2"/>
        <v>147</v>
      </c>
    </row>
    <row r="151" spans="1:10" x14ac:dyDescent="0.3">
      <c r="A151" s="2" t="s">
        <v>22</v>
      </c>
      <c r="B151" s="2" t="s">
        <v>23</v>
      </c>
      <c r="C151" s="2" t="s">
        <v>21</v>
      </c>
      <c r="D151" s="2">
        <v>44</v>
      </c>
      <c r="E151" s="2">
        <v>44</v>
      </c>
      <c r="F151" s="2">
        <v>10</v>
      </c>
      <c r="G151" s="2">
        <v>103</v>
      </c>
      <c r="H151" s="2">
        <v>3502</v>
      </c>
      <c r="I151" s="2" t="s">
        <v>12</v>
      </c>
      <c r="J151" s="2">
        <f t="shared" si="2"/>
        <v>34</v>
      </c>
    </row>
    <row r="152" spans="1:10" x14ac:dyDescent="0.3">
      <c r="A152" s="1" t="s">
        <v>29</v>
      </c>
      <c r="B152" s="1" t="s">
        <v>19</v>
      </c>
      <c r="C152" s="1" t="s">
        <v>21</v>
      </c>
      <c r="D152" s="1">
        <v>149</v>
      </c>
      <c r="E152" s="1">
        <v>159</v>
      </c>
      <c r="F152" s="1">
        <v>0</v>
      </c>
      <c r="G152" s="1">
        <v>93</v>
      </c>
      <c r="H152" s="1">
        <v>14787</v>
      </c>
      <c r="I152" s="1" t="s">
        <v>12</v>
      </c>
      <c r="J152" s="1">
        <f t="shared" si="2"/>
        <v>159</v>
      </c>
    </row>
    <row r="153" spans="1:10" x14ac:dyDescent="0.3">
      <c r="A153" s="2" t="s">
        <v>15</v>
      </c>
      <c r="B153" s="2" t="s">
        <v>16</v>
      </c>
      <c r="C153" s="2" t="s">
        <v>11</v>
      </c>
      <c r="D153" s="2">
        <v>42</v>
      </c>
      <c r="E153" s="2">
        <v>57</v>
      </c>
      <c r="F153" s="2">
        <v>5</v>
      </c>
      <c r="G153" s="2">
        <v>241</v>
      </c>
      <c r="H153" s="2">
        <v>12532</v>
      </c>
      <c r="I153" s="2" t="s">
        <v>12</v>
      </c>
      <c r="J153" s="2">
        <f t="shared" si="2"/>
        <v>52</v>
      </c>
    </row>
    <row r="154" spans="1:10" x14ac:dyDescent="0.3">
      <c r="A154" s="1" t="s">
        <v>22</v>
      </c>
      <c r="B154" s="1" t="s">
        <v>23</v>
      </c>
      <c r="C154" s="1" t="s">
        <v>21</v>
      </c>
      <c r="D154" s="1">
        <v>134</v>
      </c>
      <c r="E154" s="1">
        <v>134</v>
      </c>
      <c r="F154" s="1">
        <v>5</v>
      </c>
      <c r="G154" s="1">
        <v>82</v>
      </c>
      <c r="H154" s="1">
        <v>10578</v>
      </c>
      <c r="I154" s="1" t="s">
        <v>14</v>
      </c>
      <c r="J154" s="1">
        <f t="shared" si="2"/>
        <v>129</v>
      </c>
    </row>
    <row r="155" spans="1:10" x14ac:dyDescent="0.3">
      <c r="A155" s="2" t="s">
        <v>18</v>
      </c>
      <c r="B155" s="2" t="s">
        <v>19</v>
      </c>
      <c r="C155" s="2" t="s">
        <v>21</v>
      </c>
      <c r="D155" s="2">
        <v>67</v>
      </c>
      <c r="E155" s="2">
        <v>77</v>
      </c>
      <c r="F155" s="2">
        <v>5</v>
      </c>
      <c r="G155" s="2">
        <v>93</v>
      </c>
      <c r="H155" s="2">
        <v>6696</v>
      </c>
      <c r="I155" s="2" t="s">
        <v>12</v>
      </c>
      <c r="J155" s="2">
        <f t="shared" si="2"/>
        <v>72</v>
      </c>
    </row>
    <row r="156" spans="1:10" x14ac:dyDescent="0.3">
      <c r="A156" s="1" t="s">
        <v>22</v>
      </c>
      <c r="B156" s="1" t="s">
        <v>23</v>
      </c>
      <c r="C156" s="1" t="s">
        <v>25</v>
      </c>
      <c r="D156" s="1">
        <v>198</v>
      </c>
      <c r="E156" s="1">
        <v>198</v>
      </c>
      <c r="F156" s="1">
        <v>10</v>
      </c>
      <c r="G156" s="1">
        <v>172</v>
      </c>
      <c r="H156" s="1">
        <v>32336</v>
      </c>
      <c r="I156" s="1" t="s">
        <v>12</v>
      </c>
      <c r="J156" s="1">
        <f t="shared" si="2"/>
        <v>188</v>
      </c>
    </row>
    <row r="157" spans="1:10" x14ac:dyDescent="0.3">
      <c r="A157" s="2" t="s">
        <v>31</v>
      </c>
      <c r="B157" s="2" t="s">
        <v>32</v>
      </c>
      <c r="C157" s="2" t="s">
        <v>24</v>
      </c>
      <c r="D157" s="2">
        <v>141</v>
      </c>
      <c r="E157" s="2">
        <v>151</v>
      </c>
      <c r="F157" s="2">
        <v>5</v>
      </c>
      <c r="G157" s="2">
        <v>65</v>
      </c>
      <c r="H157" s="2">
        <v>9490</v>
      </c>
      <c r="I157" s="2" t="s">
        <v>14</v>
      </c>
      <c r="J157" s="2">
        <f t="shared" si="2"/>
        <v>146</v>
      </c>
    </row>
    <row r="158" spans="1:10" x14ac:dyDescent="0.3">
      <c r="A158" s="1" t="s">
        <v>26</v>
      </c>
      <c r="B158" s="1" t="s">
        <v>27</v>
      </c>
      <c r="C158" s="1" t="s">
        <v>13</v>
      </c>
      <c r="D158" s="1">
        <v>77</v>
      </c>
      <c r="E158" s="1">
        <v>77</v>
      </c>
      <c r="F158" s="1">
        <v>0</v>
      </c>
      <c r="G158" s="1">
        <v>89</v>
      </c>
      <c r="H158" s="1">
        <v>6853</v>
      </c>
      <c r="I158" s="1" t="s">
        <v>12</v>
      </c>
      <c r="J158" s="1">
        <f t="shared" si="2"/>
        <v>77</v>
      </c>
    </row>
    <row r="159" spans="1:10" x14ac:dyDescent="0.3">
      <c r="A159" s="2" t="s">
        <v>22</v>
      </c>
      <c r="B159" s="2" t="s">
        <v>23</v>
      </c>
      <c r="C159" s="2" t="s">
        <v>21</v>
      </c>
      <c r="D159" s="2">
        <v>80</v>
      </c>
      <c r="E159" s="2">
        <v>80</v>
      </c>
      <c r="F159" s="2">
        <v>5</v>
      </c>
      <c r="G159" s="2">
        <v>297</v>
      </c>
      <c r="H159" s="2">
        <v>22275</v>
      </c>
      <c r="I159" s="2" t="s">
        <v>12</v>
      </c>
      <c r="J159" s="2">
        <f t="shared" si="2"/>
        <v>75</v>
      </c>
    </row>
    <row r="160" spans="1:10" x14ac:dyDescent="0.3">
      <c r="A160" s="1" t="s">
        <v>28</v>
      </c>
      <c r="B160" s="1" t="s">
        <v>10</v>
      </c>
      <c r="C160" s="1" t="s">
        <v>11</v>
      </c>
      <c r="D160" s="1">
        <v>128</v>
      </c>
      <c r="E160" s="1">
        <v>128</v>
      </c>
      <c r="F160" s="1">
        <v>5</v>
      </c>
      <c r="G160" s="1">
        <v>263</v>
      </c>
      <c r="H160" s="1">
        <v>32349</v>
      </c>
      <c r="I160" s="1" t="s">
        <v>14</v>
      </c>
      <c r="J160" s="1">
        <f t="shared" si="2"/>
        <v>123</v>
      </c>
    </row>
    <row r="161" spans="1:10" x14ac:dyDescent="0.3">
      <c r="A161" s="2" t="s">
        <v>20</v>
      </c>
      <c r="B161" s="2" t="s">
        <v>16</v>
      </c>
      <c r="C161" s="2" t="s">
        <v>11</v>
      </c>
      <c r="D161" s="2">
        <v>67</v>
      </c>
      <c r="E161" s="2">
        <v>82</v>
      </c>
      <c r="F161" s="2">
        <v>10</v>
      </c>
      <c r="G161" s="2">
        <v>258</v>
      </c>
      <c r="H161" s="2">
        <v>18576</v>
      </c>
      <c r="I161" s="2" t="s">
        <v>12</v>
      </c>
      <c r="J161" s="2">
        <f t="shared" si="2"/>
        <v>72</v>
      </c>
    </row>
    <row r="162" spans="1:10" x14ac:dyDescent="0.3">
      <c r="A162" s="1" t="s">
        <v>29</v>
      </c>
      <c r="B162" s="1" t="s">
        <v>19</v>
      </c>
      <c r="C162" s="1" t="s">
        <v>24</v>
      </c>
      <c r="D162" s="1">
        <v>77</v>
      </c>
      <c r="E162" s="1">
        <v>82</v>
      </c>
      <c r="F162" s="1">
        <v>5</v>
      </c>
      <c r="G162" s="1">
        <v>87</v>
      </c>
      <c r="H162" s="1">
        <v>6699</v>
      </c>
      <c r="I162" s="1" t="s">
        <v>12</v>
      </c>
      <c r="J162" s="1">
        <f t="shared" si="2"/>
        <v>77</v>
      </c>
    </row>
    <row r="163" spans="1:10" x14ac:dyDescent="0.3">
      <c r="A163" s="2" t="s">
        <v>9</v>
      </c>
      <c r="B163" s="2" t="s">
        <v>10</v>
      </c>
      <c r="C163" s="2" t="s">
        <v>21</v>
      </c>
      <c r="D163" s="2">
        <v>142</v>
      </c>
      <c r="E163" s="2">
        <v>152</v>
      </c>
      <c r="F163" s="2">
        <v>0</v>
      </c>
      <c r="G163" s="2">
        <v>184</v>
      </c>
      <c r="H163" s="2">
        <v>27968</v>
      </c>
      <c r="I163" s="2" t="s">
        <v>12</v>
      </c>
      <c r="J163" s="2">
        <f t="shared" si="2"/>
        <v>152</v>
      </c>
    </row>
    <row r="164" spans="1:10" x14ac:dyDescent="0.3">
      <c r="A164" s="1" t="s">
        <v>15</v>
      </c>
      <c r="B164" s="1" t="s">
        <v>16</v>
      </c>
      <c r="C164" s="1" t="s">
        <v>25</v>
      </c>
      <c r="D164" s="1">
        <v>88</v>
      </c>
      <c r="E164" s="1">
        <v>103</v>
      </c>
      <c r="F164" s="1">
        <v>0</v>
      </c>
      <c r="G164" s="1">
        <v>56</v>
      </c>
      <c r="H164" s="1">
        <v>5768</v>
      </c>
      <c r="I164" s="1" t="s">
        <v>12</v>
      </c>
      <c r="J164" s="1">
        <f t="shared" si="2"/>
        <v>103</v>
      </c>
    </row>
    <row r="165" spans="1:10" x14ac:dyDescent="0.3">
      <c r="A165" s="2" t="s">
        <v>9</v>
      </c>
      <c r="B165" s="2" t="s">
        <v>10</v>
      </c>
      <c r="C165" s="2" t="s">
        <v>17</v>
      </c>
      <c r="D165" s="2">
        <v>167</v>
      </c>
      <c r="E165" s="2">
        <v>172</v>
      </c>
      <c r="F165" s="2">
        <v>5</v>
      </c>
      <c r="G165" s="2">
        <v>252</v>
      </c>
      <c r="H165" s="2">
        <v>42084</v>
      </c>
      <c r="I165" s="2" t="s">
        <v>12</v>
      </c>
      <c r="J165" s="2">
        <f t="shared" si="2"/>
        <v>167</v>
      </c>
    </row>
    <row r="166" spans="1:10" x14ac:dyDescent="0.3">
      <c r="A166" s="1" t="s">
        <v>20</v>
      </c>
      <c r="B166" s="1" t="s">
        <v>16</v>
      </c>
      <c r="C166" s="1" t="s">
        <v>17</v>
      </c>
      <c r="D166" s="1">
        <v>109</v>
      </c>
      <c r="E166" s="1">
        <v>119</v>
      </c>
      <c r="F166" s="1">
        <v>0</v>
      </c>
      <c r="G166" s="1">
        <v>161</v>
      </c>
      <c r="H166" s="1">
        <v>19159</v>
      </c>
      <c r="I166" s="1" t="s">
        <v>12</v>
      </c>
      <c r="J166" s="1">
        <f t="shared" si="2"/>
        <v>119</v>
      </c>
    </row>
    <row r="167" spans="1:10" x14ac:dyDescent="0.3">
      <c r="A167" s="2" t="s">
        <v>31</v>
      </c>
      <c r="B167" s="2" t="s">
        <v>32</v>
      </c>
      <c r="C167" s="2" t="s">
        <v>21</v>
      </c>
      <c r="D167" s="2">
        <v>161</v>
      </c>
      <c r="E167" s="2">
        <v>171</v>
      </c>
      <c r="F167" s="2">
        <v>0</v>
      </c>
      <c r="G167" s="2">
        <v>226</v>
      </c>
      <c r="H167" s="2">
        <v>38646</v>
      </c>
      <c r="I167" s="2" t="s">
        <v>12</v>
      </c>
      <c r="J167" s="2">
        <f t="shared" si="2"/>
        <v>171</v>
      </c>
    </row>
    <row r="168" spans="1:10" x14ac:dyDescent="0.3">
      <c r="A168" s="1" t="s">
        <v>20</v>
      </c>
      <c r="B168" s="1" t="s">
        <v>16</v>
      </c>
      <c r="C168" s="1" t="s">
        <v>21</v>
      </c>
      <c r="D168" s="1">
        <v>93</v>
      </c>
      <c r="E168" s="1">
        <v>108</v>
      </c>
      <c r="F168" s="1">
        <v>0</v>
      </c>
      <c r="G168" s="1">
        <v>107</v>
      </c>
      <c r="H168" s="1">
        <v>11556</v>
      </c>
      <c r="I168" s="1" t="s">
        <v>12</v>
      </c>
      <c r="J168" s="1">
        <f t="shared" si="2"/>
        <v>108</v>
      </c>
    </row>
    <row r="169" spans="1:10" x14ac:dyDescent="0.3">
      <c r="A169" s="2" t="s">
        <v>30</v>
      </c>
      <c r="B169" s="2" t="s">
        <v>10</v>
      </c>
      <c r="C169" s="2" t="s">
        <v>13</v>
      </c>
      <c r="D169" s="2">
        <v>93</v>
      </c>
      <c r="E169" s="2">
        <v>93</v>
      </c>
      <c r="F169" s="2">
        <v>5</v>
      </c>
      <c r="G169" s="2">
        <v>106</v>
      </c>
      <c r="H169" s="2">
        <v>9328</v>
      </c>
      <c r="I169" s="2" t="s">
        <v>14</v>
      </c>
      <c r="J169" s="2">
        <f t="shared" si="2"/>
        <v>88</v>
      </c>
    </row>
    <row r="170" spans="1:10" x14ac:dyDescent="0.3">
      <c r="A170" s="1" t="s">
        <v>9</v>
      </c>
      <c r="B170" s="1" t="s">
        <v>10</v>
      </c>
      <c r="C170" s="1" t="s">
        <v>17</v>
      </c>
      <c r="D170" s="1">
        <v>198</v>
      </c>
      <c r="E170" s="1">
        <v>203</v>
      </c>
      <c r="F170" s="1">
        <v>0</v>
      </c>
      <c r="G170" s="1">
        <v>188</v>
      </c>
      <c r="H170" s="1">
        <v>38164</v>
      </c>
      <c r="I170" s="1" t="s">
        <v>14</v>
      </c>
      <c r="J170" s="1">
        <f t="shared" si="2"/>
        <v>203</v>
      </c>
    </row>
    <row r="171" spans="1:10" x14ac:dyDescent="0.3">
      <c r="A171" s="2" t="s">
        <v>18</v>
      </c>
      <c r="B171" s="2" t="s">
        <v>19</v>
      </c>
      <c r="C171" s="2" t="s">
        <v>21</v>
      </c>
      <c r="D171" s="2">
        <v>161</v>
      </c>
      <c r="E171" s="2">
        <v>161</v>
      </c>
      <c r="F171" s="2">
        <v>5</v>
      </c>
      <c r="G171" s="2">
        <v>211</v>
      </c>
      <c r="H171" s="2">
        <v>32916</v>
      </c>
      <c r="I171" s="2" t="s">
        <v>12</v>
      </c>
      <c r="J171" s="2">
        <f t="shared" si="2"/>
        <v>156</v>
      </c>
    </row>
    <row r="172" spans="1:10" x14ac:dyDescent="0.3">
      <c r="A172" s="1" t="s">
        <v>9</v>
      </c>
      <c r="B172" s="1" t="s">
        <v>10</v>
      </c>
      <c r="C172" s="1" t="s">
        <v>25</v>
      </c>
      <c r="D172" s="1">
        <v>86</v>
      </c>
      <c r="E172" s="1">
        <v>91</v>
      </c>
      <c r="F172" s="1">
        <v>10</v>
      </c>
      <c r="G172" s="1">
        <v>70</v>
      </c>
      <c r="H172" s="1">
        <v>5670</v>
      </c>
      <c r="I172" s="1" t="s">
        <v>12</v>
      </c>
      <c r="J172" s="1">
        <f t="shared" si="2"/>
        <v>81</v>
      </c>
    </row>
    <row r="173" spans="1:10" x14ac:dyDescent="0.3">
      <c r="A173" s="2" t="s">
        <v>30</v>
      </c>
      <c r="B173" s="2" t="s">
        <v>10</v>
      </c>
      <c r="C173" s="2" t="s">
        <v>25</v>
      </c>
      <c r="D173" s="2">
        <v>148</v>
      </c>
      <c r="E173" s="2">
        <v>163</v>
      </c>
      <c r="F173" s="2">
        <v>5</v>
      </c>
      <c r="G173" s="2">
        <v>79</v>
      </c>
      <c r="H173" s="2">
        <v>12482</v>
      </c>
      <c r="I173" s="2" t="s">
        <v>14</v>
      </c>
      <c r="J173" s="2">
        <f t="shared" si="2"/>
        <v>158</v>
      </c>
    </row>
    <row r="174" spans="1:10" x14ac:dyDescent="0.3">
      <c r="A174" s="1" t="s">
        <v>15</v>
      </c>
      <c r="B174" s="1" t="s">
        <v>16</v>
      </c>
      <c r="C174" s="1" t="s">
        <v>24</v>
      </c>
      <c r="D174" s="1">
        <v>143</v>
      </c>
      <c r="E174" s="1">
        <v>153</v>
      </c>
      <c r="F174" s="1">
        <v>0</v>
      </c>
      <c r="G174" s="1">
        <v>299</v>
      </c>
      <c r="H174" s="1">
        <v>45747</v>
      </c>
      <c r="I174" s="1" t="s">
        <v>14</v>
      </c>
      <c r="J174" s="1">
        <f t="shared" si="2"/>
        <v>153</v>
      </c>
    </row>
    <row r="175" spans="1:10" x14ac:dyDescent="0.3">
      <c r="A175" s="2" t="s">
        <v>30</v>
      </c>
      <c r="B175" s="2" t="s">
        <v>10</v>
      </c>
      <c r="C175" s="2" t="s">
        <v>21</v>
      </c>
      <c r="D175" s="2">
        <v>71</v>
      </c>
      <c r="E175" s="2">
        <v>81</v>
      </c>
      <c r="F175" s="2">
        <v>0</v>
      </c>
      <c r="G175" s="2">
        <v>61</v>
      </c>
      <c r="H175" s="2">
        <v>4941</v>
      </c>
      <c r="I175" s="2" t="s">
        <v>12</v>
      </c>
      <c r="J175" s="2">
        <f t="shared" si="2"/>
        <v>81</v>
      </c>
    </row>
    <row r="176" spans="1:10" x14ac:dyDescent="0.3">
      <c r="A176" s="1" t="s">
        <v>31</v>
      </c>
      <c r="B176" s="1" t="s">
        <v>32</v>
      </c>
      <c r="C176" s="1" t="s">
        <v>13</v>
      </c>
      <c r="D176" s="1">
        <v>151</v>
      </c>
      <c r="E176" s="1">
        <v>151</v>
      </c>
      <c r="F176" s="1">
        <v>10</v>
      </c>
      <c r="G176" s="1">
        <v>219</v>
      </c>
      <c r="H176" s="1">
        <v>30879</v>
      </c>
      <c r="I176" s="1" t="s">
        <v>12</v>
      </c>
      <c r="J176" s="1">
        <f t="shared" si="2"/>
        <v>141</v>
      </c>
    </row>
    <row r="177" spans="1:10" x14ac:dyDescent="0.3">
      <c r="A177" s="2" t="s">
        <v>30</v>
      </c>
      <c r="B177" s="2" t="s">
        <v>10</v>
      </c>
      <c r="C177" s="2" t="s">
        <v>13</v>
      </c>
      <c r="D177" s="2">
        <v>196</v>
      </c>
      <c r="E177" s="2">
        <v>201</v>
      </c>
      <c r="F177" s="2">
        <v>10</v>
      </c>
      <c r="G177" s="2">
        <v>112</v>
      </c>
      <c r="H177" s="2">
        <v>21392</v>
      </c>
      <c r="I177" s="2" t="s">
        <v>14</v>
      </c>
      <c r="J177" s="2">
        <f t="shared" si="2"/>
        <v>191</v>
      </c>
    </row>
    <row r="178" spans="1:10" x14ac:dyDescent="0.3">
      <c r="A178" s="1" t="s">
        <v>18</v>
      </c>
      <c r="B178" s="1" t="s">
        <v>19</v>
      </c>
      <c r="C178" s="1" t="s">
        <v>21</v>
      </c>
      <c r="D178" s="1">
        <v>160</v>
      </c>
      <c r="E178" s="1">
        <v>175</v>
      </c>
      <c r="F178" s="1">
        <v>0</v>
      </c>
      <c r="G178" s="1">
        <v>56</v>
      </c>
      <c r="H178" s="1">
        <v>9800</v>
      </c>
      <c r="I178" s="1" t="s">
        <v>14</v>
      </c>
      <c r="J178" s="1">
        <f t="shared" si="2"/>
        <v>175</v>
      </c>
    </row>
    <row r="179" spans="1:10" x14ac:dyDescent="0.3">
      <c r="A179" s="2" t="s">
        <v>26</v>
      </c>
      <c r="B179" s="2" t="s">
        <v>27</v>
      </c>
      <c r="C179" s="2" t="s">
        <v>21</v>
      </c>
      <c r="D179" s="2">
        <v>115</v>
      </c>
      <c r="E179" s="2">
        <v>120</v>
      </c>
      <c r="F179" s="2">
        <v>0</v>
      </c>
      <c r="G179" s="2">
        <v>226</v>
      </c>
      <c r="H179" s="2">
        <v>27120</v>
      </c>
      <c r="I179" s="2" t="s">
        <v>12</v>
      </c>
      <c r="J179" s="2">
        <f t="shared" si="2"/>
        <v>120</v>
      </c>
    </row>
    <row r="180" spans="1:10" x14ac:dyDescent="0.3">
      <c r="A180" s="1" t="s">
        <v>9</v>
      </c>
      <c r="B180" s="1" t="s">
        <v>10</v>
      </c>
      <c r="C180" s="1" t="s">
        <v>17</v>
      </c>
      <c r="D180" s="1">
        <v>92</v>
      </c>
      <c r="E180" s="1">
        <v>102</v>
      </c>
      <c r="F180" s="1">
        <v>10</v>
      </c>
      <c r="G180" s="1">
        <v>99</v>
      </c>
      <c r="H180" s="1">
        <v>9108</v>
      </c>
      <c r="I180" s="1" t="s">
        <v>14</v>
      </c>
      <c r="J180" s="1">
        <f t="shared" si="2"/>
        <v>92</v>
      </c>
    </row>
    <row r="181" spans="1:10" x14ac:dyDescent="0.3">
      <c r="A181" s="2" t="s">
        <v>31</v>
      </c>
      <c r="B181" s="2" t="s">
        <v>32</v>
      </c>
      <c r="C181" s="2" t="s">
        <v>25</v>
      </c>
      <c r="D181" s="2">
        <v>107</v>
      </c>
      <c r="E181" s="2">
        <v>112</v>
      </c>
      <c r="F181" s="2">
        <v>5</v>
      </c>
      <c r="G181" s="2">
        <v>117</v>
      </c>
      <c r="H181" s="2">
        <v>12519</v>
      </c>
      <c r="I181" s="2" t="s">
        <v>12</v>
      </c>
      <c r="J181" s="2">
        <f t="shared" si="2"/>
        <v>107</v>
      </c>
    </row>
    <row r="182" spans="1:10" x14ac:dyDescent="0.3">
      <c r="A182" s="1" t="s">
        <v>30</v>
      </c>
      <c r="B182" s="1" t="s">
        <v>10</v>
      </c>
      <c r="C182" s="1" t="s">
        <v>13</v>
      </c>
      <c r="D182" s="1">
        <v>88</v>
      </c>
      <c r="E182" s="1">
        <v>98</v>
      </c>
      <c r="F182" s="1">
        <v>5</v>
      </c>
      <c r="G182" s="1">
        <v>259</v>
      </c>
      <c r="H182" s="1">
        <v>24087</v>
      </c>
      <c r="I182" s="1" t="s">
        <v>12</v>
      </c>
      <c r="J182" s="1">
        <f t="shared" si="2"/>
        <v>93</v>
      </c>
    </row>
    <row r="183" spans="1:10" x14ac:dyDescent="0.3">
      <c r="A183" s="2" t="s">
        <v>18</v>
      </c>
      <c r="B183" s="2" t="s">
        <v>19</v>
      </c>
      <c r="C183" s="2" t="s">
        <v>13</v>
      </c>
      <c r="D183" s="2">
        <v>113</v>
      </c>
      <c r="E183" s="2">
        <v>113</v>
      </c>
      <c r="F183" s="2">
        <v>0</v>
      </c>
      <c r="G183" s="2">
        <v>114</v>
      </c>
      <c r="H183" s="2">
        <v>12882</v>
      </c>
      <c r="I183" s="2" t="s">
        <v>12</v>
      </c>
      <c r="J183" s="2">
        <f t="shared" si="2"/>
        <v>113</v>
      </c>
    </row>
    <row r="184" spans="1:10" x14ac:dyDescent="0.3">
      <c r="A184" s="1" t="s">
        <v>15</v>
      </c>
      <c r="B184" s="1" t="s">
        <v>16</v>
      </c>
      <c r="C184" s="1" t="s">
        <v>24</v>
      </c>
      <c r="D184" s="1">
        <v>54</v>
      </c>
      <c r="E184" s="1">
        <v>54</v>
      </c>
      <c r="F184" s="1">
        <v>5</v>
      </c>
      <c r="G184" s="1">
        <v>141</v>
      </c>
      <c r="H184" s="1">
        <v>6909</v>
      </c>
      <c r="I184" s="1" t="s">
        <v>14</v>
      </c>
      <c r="J184" s="1">
        <f t="shared" si="2"/>
        <v>49</v>
      </c>
    </row>
    <row r="185" spans="1:10" x14ac:dyDescent="0.3">
      <c r="A185" s="2" t="s">
        <v>15</v>
      </c>
      <c r="B185" s="2" t="s">
        <v>16</v>
      </c>
      <c r="C185" s="2" t="s">
        <v>24</v>
      </c>
      <c r="D185" s="2">
        <v>173</v>
      </c>
      <c r="E185" s="2">
        <v>178</v>
      </c>
      <c r="F185" s="2">
        <v>10</v>
      </c>
      <c r="G185" s="2">
        <v>159</v>
      </c>
      <c r="H185" s="2">
        <v>26712</v>
      </c>
      <c r="I185" s="2" t="s">
        <v>12</v>
      </c>
      <c r="J185" s="2">
        <f t="shared" si="2"/>
        <v>168</v>
      </c>
    </row>
    <row r="186" spans="1:10" x14ac:dyDescent="0.3">
      <c r="A186" s="1" t="s">
        <v>9</v>
      </c>
      <c r="B186" s="1" t="s">
        <v>10</v>
      </c>
      <c r="C186" s="1" t="s">
        <v>21</v>
      </c>
      <c r="D186" s="1">
        <v>75</v>
      </c>
      <c r="E186" s="1">
        <v>90</v>
      </c>
      <c r="F186" s="1">
        <v>10</v>
      </c>
      <c r="G186" s="1">
        <v>100</v>
      </c>
      <c r="H186" s="1">
        <v>8000</v>
      </c>
      <c r="I186" s="1" t="s">
        <v>14</v>
      </c>
      <c r="J186" s="1">
        <f t="shared" si="2"/>
        <v>80</v>
      </c>
    </row>
    <row r="187" spans="1:10" x14ac:dyDescent="0.3">
      <c r="A187" s="2" t="s">
        <v>30</v>
      </c>
      <c r="B187" s="2" t="s">
        <v>10</v>
      </c>
      <c r="C187" s="2" t="s">
        <v>11</v>
      </c>
      <c r="D187" s="2">
        <v>48</v>
      </c>
      <c r="E187" s="2">
        <v>58</v>
      </c>
      <c r="F187" s="2">
        <v>5</v>
      </c>
      <c r="G187" s="2">
        <v>112</v>
      </c>
      <c r="H187" s="2">
        <v>5936</v>
      </c>
      <c r="I187" s="2" t="s">
        <v>12</v>
      </c>
      <c r="J187" s="2">
        <f t="shared" si="2"/>
        <v>53</v>
      </c>
    </row>
    <row r="188" spans="1:10" x14ac:dyDescent="0.3">
      <c r="A188" s="1" t="s">
        <v>28</v>
      </c>
      <c r="B188" s="1" t="s">
        <v>10</v>
      </c>
      <c r="C188" s="1" t="s">
        <v>25</v>
      </c>
      <c r="D188" s="1">
        <v>34</v>
      </c>
      <c r="E188" s="1">
        <v>44</v>
      </c>
      <c r="F188" s="1">
        <v>0</v>
      </c>
      <c r="G188" s="1">
        <v>284</v>
      </c>
      <c r="H188" s="1">
        <v>12496</v>
      </c>
      <c r="I188" s="1" t="s">
        <v>12</v>
      </c>
      <c r="J188" s="1">
        <f t="shared" si="2"/>
        <v>44</v>
      </c>
    </row>
    <row r="189" spans="1:10" x14ac:dyDescent="0.3">
      <c r="A189" s="2" t="s">
        <v>22</v>
      </c>
      <c r="B189" s="2" t="s">
        <v>23</v>
      </c>
      <c r="C189" s="2" t="s">
        <v>17</v>
      </c>
      <c r="D189" s="2">
        <v>93</v>
      </c>
      <c r="E189" s="2">
        <v>103</v>
      </c>
      <c r="F189" s="2">
        <v>10</v>
      </c>
      <c r="G189" s="2">
        <v>103</v>
      </c>
      <c r="H189" s="2">
        <v>9579</v>
      </c>
      <c r="I189" s="2" t="s">
        <v>12</v>
      </c>
      <c r="J189" s="2">
        <f t="shared" si="2"/>
        <v>93</v>
      </c>
    </row>
    <row r="190" spans="1:10" x14ac:dyDescent="0.3">
      <c r="A190" s="1" t="s">
        <v>18</v>
      </c>
      <c r="B190" s="1" t="s">
        <v>19</v>
      </c>
      <c r="C190" s="1" t="s">
        <v>13</v>
      </c>
      <c r="D190" s="1">
        <v>55</v>
      </c>
      <c r="E190" s="1">
        <v>55</v>
      </c>
      <c r="F190" s="1">
        <v>0</v>
      </c>
      <c r="G190" s="1">
        <v>271</v>
      </c>
      <c r="H190" s="1">
        <v>14905</v>
      </c>
      <c r="I190" s="1" t="s">
        <v>12</v>
      </c>
      <c r="J190" s="1">
        <f t="shared" si="2"/>
        <v>55</v>
      </c>
    </row>
    <row r="191" spans="1:10" x14ac:dyDescent="0.3">
      <c r="A191" s="2" t="s">
        <v>30</v>
      </c>
      <c r="B191" s="2" t="s">
        <v>10</v>
      </c>
      <c r="C191" s="2" t="s">
        <v>24</v>
      </c>
      <c r="D191" s="2">
        <v>36</v>
      </c>
      <c r="E191" s="2">
        <v>51</v>
      </c>
      <c r="F191" s="2">
        <v>10</v>
      </c>
      <c r="G191" s="2">
        <v>139</v>
      </c>
      <c r="H191" s="2">
        <v>5699</v>
      </c>
      <c r="I191" s="2" t="s">
        <v>12</v>
      </c>
      <c r="J191" s="2">
        <f t="shared" si="2"/>
        <v>41</v>
      </c>
    </row>
    <row r="192" spans="1:10" x14ac:dyDescent="0.3">
      <c r="A192" s="1" t="s">
        <v>28</v>
      </c>
      <c r="B192" s="1" t="s">
        <v>10</v>
      </c>
      <c r="C192" s="1" t="s">
        <v>25</v>
      </c>
      <c r="D192" s="1">
        <v>41</v>
      </c>
      <c r="E192" s="1">
        <v>51</v>
      </c>
      <c r="F192" s="1">
        <v>10</v>
      </c>
      <c r="G192" s="1">
        <v>123</v>
      </c>
      <c r="H192" s="1">
        <v>5043</v>
      </c>
      <c r="I192" s="1" t="s">
        <v>14</v>
      </c>
      <c r="J192" s="1">
        <f t="shared" si="2"/>
        <v>41</v>
      </c>
    </row>
    <row r="193" spans="1:10" x14ac:dyDescent="0.3">
      <c r="A193" s="2" t="s">
        <v>18</v>
      </c>
      <c r="B193" s="2" t="s">
        <v>19</v>
      </c>
      <c r="C193" s="2" t="s">
        <v>17</v>
      </c>
      <c r="D193" s="2">
        <v>162</v>
      </c>
      <c r="E193" s="2">
        <v>172</v>
      </c>
      <c r="F193" s="2">
        <v>5</v>
      </c>
      <c r="G193" s="2">
        <v>184</v>
      </c>
      <c r="H193" s="2">
        <v>30728</v>
      </c>
      <c r="I193" s="2" t="s">
        <v>12</v>
      </c>
      <c r="J193" s="2">
        <f t="shared" si="2"/>
        <v>167</v>
      </c>
    </row>
    <row r="194" spans="1:10" x14ac:dyDescent="0.3">
      <c r="A194" s="1" t="s">
        <v>18</v>
      </c>
      <c r="B194" s="1" t="s">
        <v>19</v>
      </c>
      <c r="C194" s="1" t="s">
        <v>13</v>
      </c>
      <c r="D194" s="1">
        <v>146</v>
      </c>
      <c r="E194" s="1">
        <v>151</v>
      </c>
      <c r="F194" s="1">
        <v>0</v>
      </c>
      <c r="G194" s="1">
        <v>273</v>
      </c>
      <c r="H194" s="1">
        <v>41223</v>
      </c>
      <c r="I194" s="1" t="s">
        <v>14</v>
      </c>
      <c r="J194" s="1">
        <f t="shared" si="2"/>
        <v>151</v>
      </c>
    </row>
    <row r="195" spans="1:10" x14ac:dyDescent="0.3">
      <c r="A195" s="2" t="s">
        <v>20</v>
      </c>
      <c r="B195" s="2" t="s">
        <v>16</v>
      </c>
      <c r="C195" s="2" t="s">
        <v>13</v>
      </c>
      <c r="D195" s="2">
        <v>41</v>
      </c>
      <c r="E195" s="2">
        <v>41</v>
      </c>
      <c r="F195" s="2">
        <v>10</v>
      </c>
      <c r="G195" s="2">
        <v>152</v>
      </c>
      <c r="H195" s="2">
        <v>4712</v>
      </c>
      <c r="I195" s="2" t="s">
        <v>12</v>
      </c>
      <c r="J195" s="2">
        <f t="shared" ref="J195:J258" si="3">H195/G195</f>
        <v>31</v>
      </c>
    </row>
    <row r="196" spans="1:10" x14ac:dyDescent="0.3">
      <c r="A196" s="1" t="s">
        <v>29</v>
      </c>
      <c r="B196" s="1" t="s">
        <v>19</v>
      </c>
      <c r="C196" s="1" t="s">
        <v>11</v>
      </c>
      <c r="D196" s="1">
        <v>74</v>
      </c>
      <c r="E196" s="1">
        <v>84</v>
      </c>
      <c r="F196" s="1">
        <v>10</v>
      </c>
      <c r="G196" s="1">
        <v>197</v>
      </c>
      <c r="H196" s="1">
        <v>14578</v>
      </c>
      <c r="I196" s="1" t="s">
        <v>12</v>
      </c>
      <c r="J196" s="1">
        <f t="shared" si="3"/>
        <v>74</v>
      </c>
    </row>
    <row r="197" spans="1:10" x14ac:dyDescent="0.3">
      <c r="A197" s="2" t="s">
        <v>26</v>
      </c>
      <c r="B197" s="2" t="s">
        <v>27</v>
      </c>
      <c r="C197" s="2" t="s">
        <v>11</v>
      </c>
      <c r="D197" s="2">
        <v>153</v>
      </c>
      <c r="E197" s="2">
        <v>163</v>
      </c>
      <c r="F197" s="2">
        <v>5</v>
      </c>
      <c r="G197" s="2">
        <v>143</v>
      </c>
      <c r="H197" s="2">
        <v>22594</v>
      </c>
      <c r="I197" s="2" t="s">
        <v>12</v>
      </c>
      <c r="J197" s="2">
        <f t="shared" si="3"/>
        <v>158</v>
      </c>
    </row>
    <row r="198" spans="1:10" x14ac:dyDescent="0.3">
      <c r="A198" s="1" t="s">
        <v>29</v>
      </c>
      <c r="B198" s="1" t="s">
        <v>19</v>
      </c>
      <c r="C198" s="1" t="s">
        <v>24</v>
      </c>
      <c r="D198" s="1">
        <v>147</v>
      </c>
      <c r="E198" s="1">
        <v>157</v>
      </c>
      <c r="F198" s="1">
        <v>5</v>
      </c>
      <c r="G198" s="1">
        <v>133</v>
      </c>
      <c r="H198" s="1">
        <v>20216</v>
      </c>
      <c r="I198" s="1" t="s">
        <v>14</v>
      </c>
      <c r="J198" s="1">
        <f t="shared" si="3"/>
        <v>152</v>
      </c>
    </row>
    <row r="199" spans="1:10" x14ac:dyDescent="0.3">
      <c r="A199" s="2" t="s">
        <v>20</v>
      </c>
      <c r="B199" s="2" t="s">
        <v>16</v>
      </c>
      <c r="C199" s="2" t="s">
        <v>13</v>
      </c>
      <c r="D199" s="2">
        <v>67</v>
      </c>
      <c r="E199" s="2">
        <v>82</v>
      </c>
      <c r="F199" s="2">
        <v>10</v>
      </c>
      <c r="G199" s="2">
        <v>192</v>
      </c>
      <c r="H199" s="2">
        <v>13824</v>
      </c>
      <c r="I199" s="2" t="s">
        <v>12</v>
      </c>
      <c r="J199" s="2">
        <f t="shared" si="3"/>
        <v>72</v>
      </c>
    </row>
    <row r="200" spans="1:10" x14ac:dyDescent="0.3">
      <c r="A200" s="1" t="s">
        <v>26</v>
      </c>
      <c r="B200" s="1" t="s">
        <v>27</v>
      </c>
      <c r="C200" s="1" t="s">
        <v>13</v>
      </c>
      <c r="D200" s="1">
        <v>76</v>
      </c>
      <c r="E200" s="1">
        <v>91</v>
      </c>
      <c r="F200" s="1">
        <v>0</v>
      </c>
      <c r="G200" s="1">
        <v>156</v>
      </c>
      <c r="H200" s="1">
        <v>14196</v>
      </c>
      <c r="I200" s="1" t="s">
        <v>12</v>
      </c>
      <c r="J200" s="1">
        <f t="shared" si="3"/>
        <v>91</v>
      </c>
    </row>
    <row r="201" spans="1:10" x14ac:dyDescent="0.3">
      <c r="A201" s="2" t="s">
        <v>20</v>
      </c>
      <c r="B201" s="2" t="s">
        <v>16</v>
      </c>
      <c r="C201" s="2" t="s">
        <v>24</v>
      </c>
      <c r="D201" s="2">
        <v>131</v>
      </c>
      <c r="E201" s="2">
        <v>146</v>
      </c>
      <c r="F201" s="2">
        <v>5</v>
      </c>
      <c r="G201" s="2">
        <v>87</v>
      </c>
      <c r="H201" s="2">
        <v>12267</v>
      </c>
      <c r="I201" s="2" t="s">
        <v>12</v>
      </c>
      <c r="J201" s="2">
        <f t="shared" si="3"/>
        <v>141</v>
      </c>
    </row>
    <row r="202" spans="1:10" x14ac:dyDescent="0.3">
      <c r="A202" s="1" t="s">
        <v>26</v>
      </c>
      <c r="B202" s="1" t="s">
        <v>27</v>
      </c>
      <c r="C202" s="1" t="s">
        <v>17</v>
      </c>
      <c r="D202" s="1">
        <v>165</v>
      </c>
      <c r="E202" s="1">
        <v>165</v>
      </c>
      <c r="F202" s="1">
        <v>10</v>
      </c>
      <c r="G202" s="1">
        <v>124</v>
      </c>
      <c r="H202" s="1">
        <v>19220</v>
      </c>
      <c r="I202" s="1" t="s">
        <v>12</v>
      </c>
      <c r="J202" s="1">
        <f t="shared" si="3"/>
        <v>155</v>
      </c>
    </row>
    <row r="203" spans="1:10" x14ac:dyDescent="0.3">
      <c r="A203" s="2" t="s">
        <v>15</v>
      </c>
      <c r="B203" s="2" t="s">
        <v>16</v>
      </c>
      <c r="C203" s="2" t="s">
        <v>17</v>
      </c>
      <c r="D203" s="2">
        <v>143</v>
      </c>
      <c r="E203" s="2">
        <v>148</v>
      </c>
      <c r="F203" s="2">
        <v>10</v>
      </c>
      <c r="G203" s="2">
        <v>60</v>
      </c>
      <c r="H203" s="2">
        <v>8280</v>
      </c>
      <c r="I203" s="2" t="s">
        <v>12</v>
      </c>
      <c r="J203" s="2">
        <f t="shared" si="3"/>
        <v>138</v>
      </c>
    </row>
    <row r="204" spans="1:10" x14ac:dyDescent="0.3">
      <c r="A204" s="1" t="s">
        <v>20</v>
      </c>
      <c r="B204" s="1" t="s">
        <v>16</v>
      </c>
      <c r="C204" s="1" t="s">
        <v>13</v>
      </c>
      <c r="D204" s="1">
        <v>49</v>
      </c>
      <c r="E204" s="1">
        <v>49</v>
      </c>
      <c r="F204" s="1">
        <v>5</v>
      </c>
      <c r="G204" s="1">
        <v>60</v>
      </c>
      <c r="H204" s="1">
        <v>2640</v>
      </c>
      <c r="I204" s="1" t="s">
        <v>14</v>
      </c>
      <c r="J204" s="1">
        <f t="shared" si="3"/>
        <v>44</v>
      </c>
    </row>
    <row r="205" spans="1:10" x14ac:dyDescent="0.3">
      <c r="A205" s="2" t="s">
        <v>31</v>
      </c>
      <c r="B205" s="2" t="s">
        <v>32</v>
      </c>
      <c r="C205" s="2" t="s">
        <v>13</v>
      </c>
      <c r="D205" s="2">
        <v>154</v>
      </c>
      <c r="E205" s="2">
        <v>159</v>
      </c>
      <c r="F205" s="2">
        <v>0</v>
      </c>
      <c r="G205" s="2">
        <v>224</v>
      </c>
      <c r="H205" s="2">
        <v>35616</v>
      </c>
      <c r="I205" s="2" t="s">
        <v>12</v>
      </c>
      <c r="J205" s="2">
        <f t="shared" si="3"/>
        <v>159</v>
      </c>
    </row>
    <row r="206" spans="1:10" x14ac:dyDescent="0.3">
      <c r="A206" s="1" t="s">
        <v>29</v>
      </c>
      <c r="B206" s="1" t="s">
        <v>19</v>
      </c>
      <c r="C206" s="1" t="s">
        <v>13</v>
      </c>
      <c r="D206" s="1">
        <v>65</v>
      </c>
      <c r="E206" s="1">
        <v>75</v>
      </c>
      <c r="F206" s="1">
        <v>5</v>
      </c>
      <c r="G206" s="1">
        <v>183</v>
      </c>
      <c r="H206" s="1">
        <v>12810</v>
      </c>
      <c r="I206" s="1" t="s">
        <v>12</v>
      </c>
      <c r="J206" s="1">
        <f t="shared" si="3"/>
        <v>70</v>
      </c>
    </row>
    <row r="207" spans="1:10" x14ac:dyDescent="0.3">
      <c r="A207" s="2" t="s">
        <v>22</v>
      </c>
      <c r="B207" s="2" t="s">
        <v>23</v>
      </c>
      <c r="C207" s="2" t="s">
        <v>11</v>
      </c>
      <c r="D207" s="2">
        <v>69</v>
      </c>
      <c r="E207" s="2">
        <v>74</v>
      </c>
      <c r="F207" s="2">
        <v>0</v>
      </c>
      <c r="G207" s="2">
        <v>224</v>
      </c>
      <c r="H207" s="2">
        <v>16576</v>
      </c>
      <c r="I207" s="2" t="s">
        <v>12</v>
      </c>
      <c r="J207" s="2">
        <f t="shared" si="3"/>
        <v>74</v>
      </c>
    </row>
    <row r="208" spans="1:10" x14ac:dyDescent="0.3">
      <c r="A208" s="1" t="s">
        <v>31</v>
      </c>
      <c r="B208" s="1" t="s">
        <v>32</v>
      </c>
      <c r="C208" s="1" t="s">
        <v>24</v>
      </c>
      <c r="D208" s="1">
        <v>181</v>
      </c>
      <c r="E208" s="1">
        <v>191</v>
      </c>
      <c r="F208" s="1">
        <v>5</v>
      </c>
      <c r="G208" s="1">
        <v>273</v>
      </c>
      <c r="H208" s="1">
        <v>50778</v>
      </c>
      <c r="I208" s="1" t="s">
        <v>14</v>
      </c>
      <c r="J208" s="1">
        <f t="shared" si="3"/>
        <v>186</v>
      </c>
    </row>
    <row r="209" spans="1:10" x14ac:dyDescent="0.3">
      <c r="A209" s="2" t="s">
        <v>29</v>
      </c>
      <c r="B209" s="2" t="s">
        <v>19</v>
      </c>
      <c r="C209" s="2" t="s">
        <v>21</v>
      </c>
      <c r="D209" s="2">
        <v>30</v>
      </c>
      <c r="E209" s="2">
        <v>45</v>
      </c>
      <c r="F209" s="2">
        <v>5</v>
      </c>
      <c r="G209" s="2">
        <v>262</v>
      </c>
      <c r="H209" s="2">
        <v>10480</v>
      </c>
      <c r="I209" s="2" t="s">
        <v>14</v>
      </c>
      <c r="J209" s="2">
        <f t="shared" si="3"/>
        <v>40</v>
      </c>
    </row>
    <row r="210" spans="1:10" x14ac:dyDescent="0.3">
      <c r="A210" s="1" t="s">
        <v>9</v>
      </c>
      <c r="B210" s="1" t="s">
        <v>10</v>
      </c>
      <c r="C210" s="1" t="s">
        <v>13</v>
      </c>
      <c r="D210" s="1">
        <v>149</v>
      </c>
      <c r="E210" s="1">
        <v>164</v>
      </c>
      <c r="F210" s="1">
        <v>10</v>
      </c>
      <c r="G210" s="1">
        <v>80</v>
      </c>
      <c r="H210" s="1">
        <v>12320</v>
      </c>
      <c r="I210" s="1" t="s">
        <v>14</v>
      </c>
      <c r="J210" s="1">
        <f t="shared" si="3"/>
        <v>154</v>
      </c>
    </row>
    <row r="211" spans="1:10" x14ac:dyDescent="0.3">
      <c r="A211" s="2" t="s">
        <v>9</v>
      </c>
      <c r="B211" s="2" t="s">
        <v>10</v>
      </c>
      <c r="C211" s="2" t="s">
        <v>25</v>
      </c>
      <c r="D211" s="2">
        <v>177</v>
      </c>
      <c r="E211" s="2">
        <v>192</v>
      </c>
      <c r="F211" s="2">
        <v>0</v>
      </c>
      <c r="G211" s="2">
        <v>253</v>
      </c>
      <c r="H211" s="2">
        <v>48576</v>
      </c>
      <c r="I211" s="2" t="s">
        <v>12</v>
      </c>
      <c r="J211" s="2">
        <f t="shared" si="3"/>
        <v>192</v>
      </c>
    </row>
    <row r="212" spans="1:10" x14ac:dyDescent="0.3">
      <c r="A212" s="1" t="s">
        <v>20</v>
      </c>
      <c r="B212" s="1" t="s">
        <v>16</v>
      </c>
      <c r="C212" s="1" t="s">
        <v>11</v>
      </c>
      <c r="D212" s="1">
        <v>76</v>
      </c>
      <c r="E212" s="1">
        <v>76</v>
      </c>
      <c r="F212" s="1">
        <v>10</v>
      </c>
      <c r="G212" s="1">
        <v>240</v>
      </c>
      <c r="H212" s="1">
        <v>15840</v>
      </c>
      <c r="I212" s="1" t="s">
        <v>12</v>
      </c>
      <c r="J212" s="1">
        <f t="shared" si="3"/>
        <v>66</v>
      </c>
    </row>
    <row r="213" spans="1:10" x14ac:dyDescent="0.3">
      <c r="A213" s="2" t="s">
        <v>22</v>
      </c>
      <c r="B213" s="2" t="s">
        <v>23</v>
      </c>
      <c r="C213" s="2" t="s">
        <v>13</v>
      </c>
      <c r="D213" s="2">
        <v>169</v>
      </c>
      <c r="E213" s="2">
        <v>169</v>
      </c>
      <c r="F213" s="2">
        <v>5</v>
      </c>
      <c r="G213" s="2">
        <v>270</v>
      </c>
      <c r="H213" s="2">
        <v>44280</v>
      </c>
      <c r="I213" s="2" t="s">
        <v>12</v>
      </c>
      <c r="J213" s="2">
        <f t="shared" si="3"/>
        <v>164</v>
      </c>
    </row>
    <row r="214" spans="1:10" x14ac:dyDescent="0.3">
      <c r="A214" s="1" t="s">
        <v>22</v>
      </c>
      <c r="B214" s="1" t="s">
        <v>23</v>
      </c>
      <c r="C214" s="1" t="s">
        <v>13</v>
      </c>
      <c r="D214" s="1">
        <v>166</v>
      </c>
      <c r="E214" s="1">
        <v>171</v>
      </c>
      <c r="F214" s="1">
        <v>0</v>
      </c>
      <c r="G214" s="1">
        <v>130</v>
      </c>
      <c r="H214" s="1">
        <v>22230</v>
      </c>
      <c r="I214" s="1" t="s">
        <v>12</v>
      </c>
      <c r="J214" s="1">
        <f t="shared" si="3"/>
        <v>171</v>
      </c>
    </row>
    <row r="215" spans="1:10" x14ac:dyDescent="0.3">
      <c r="A215" s="2" t="s">
        <v>29</v>
      </c>
      <c r="B215" s="2" t="s">
        <v>19</v>
      </c>
      <c r="C215" s="2" t="s">
        <v>25</v>
      </c>
      <c r="D215" s="2">
        <v>161</v>
      </c>
      <c r="E215" s="2">
        <v>161</v>
      </c>
      <c r="F215" s="2">
        <v>0</v>
      </c>
      <c r="G215" s="2">
        <v>165</v>
      </c>
      <c r="H215" s="2">
        <v>26565</v>
      </c>
      <c r="I215" s="2" t="s">
        <v>12</v>
      </c>
      <c r="J215" s="2">
        <f t="shared" si="3"/>
        <v>161</v>
      </c>
    </row>
    <row r="216" spans="1:10" x14ac:dyDescent="0.3">
      <c r="A216" s="1" t="s">
        <v>20</v>
      </c>
      <c r="B216" s="1" t="s">
        <v>16</v>
      </c>
      <c r="C216" s="1" t="s">
        <v>25</v>
      </c>
      <c r="D216" s="1">
        <v>86</v>
      </c>
      <c r="E216" s="1">
        <v>101</v>
      </c>
      <c r="F216" s="1">
        <v>0</v>
      </c>
      <c r="G216" s="1">
        <v>139</v>
      </c>
      <c r="H216" s="1">
        <v>14039</v>
      </c>
      <c r="I216" s="1" t="s">
        <v>14</v>
      </c>
      <c r="J216" s="1">
        <f t="shared" si="3"/>
        <v>101</v>
      </c>
    </row>
    <row r="217" spans="1:10" x14ac:dyDescent="0.3">
      <c r="A217" s="2" t="s">
        <v>26</v>
      </c>
      <c r="B217" s="2" t="s">
        <v>27</v>
      </c>
      <c r="C217" s="2" t="s">
        <v>21</v>
      </c>
      <c r="D217" s="2">
        <v>138</v>
      </c>
      <c r="E217" s="2">
        <v>153</v>
      </c>
      <c r="F217" s="2">
        <v>10</v>
      </c>
      <c r="G217" s="2">
        <v>213</v>
      </c>
      <c r="H217" s="2">
        <v>30459</v>
      </c>
      <c r="I217" s="2" t="s">
        <v>12</v>
      </c>
      <c r="J217" s="2">
        <f t="shared" si="3"/>
        <v>143</v>
      </c>
    </row>
    <row r="218" spans="1:10" x14ac:dyDescent="0.3">
      <c r="A218" s="1" t="s">
        <v>18</v>
      </c>
      <c r="B218" s="1" t="s">
        <v>19</v>
      </c>
      <c r="C218" s="1" t="s">
        <v>13</v>
      </c>
      <c r="D218" s="1">
        <v>129</v>
      </c>
      <c r="E218" s="1">
        <v>139</v>
      </c>
      <c r="F218" s="1">
        <v>0</v>
      </c>
      <c r="G218" s="1">
        <v>69</v>
      </c>
      <c r="H218" s="1">
        <v>9591</v>
      </c>
      <c r="I218" s="1" t="s">
        <v>14</v>
      </c>
      <c r="J218" s="1">
        <f t="shared" si="3"/>
        <v>139</v>
      </c>
    </row>
    <row r="219" spans="1:10" x14ac:dyDescent="0.3">
      <c r="A219" s="2" t="s">
        <v>22</v>
      </c>
      <c r="B219" s="2" t="s">
        <v>23</v>
      </c>
      <c r="C219" s="2" t="s">
        <v>24</v>
      </c>
      <c r="D219" s="2">
        <v>103</v>
      </c>
      <c r="E219" s="2">
        <v>118</v>
      </c>
      <c r="F219" s="2">
        <v>5</v>
      </c>
      <c r="G219" s="2">
        <v>215</v>
      </c>
      <c r="H219" s="2">
        <v>24295</v>
      </c>
      <c r="I219" s="2" t="s">
        <v>12</v>
      </c>
      <c r="J219" s="2">
        <f t="shared" si="3"/>
        <v>113</v>
      </c>
    </row>
    <row r="220" spans="1:10" x14ac:dyDescent="0.3">
      <c r="A220" s="1" t="s">
        <v>26</v>
      </c>
      <c r="B220" s="1" t="s">
        <v>27</v>
      </c>
      <c r="C220" s="1" t="s">
        <v>21</v>
      </c>
      <c r="D220" s="1">
        <v>43</v>
      </c>
      <c r="E220" s="1">
        <v>58</v>
      </c>
      <c r="F220" s="1">
        <v>5</v>
      </c>
      <c r="G220" s="1">
        <v>137</v>
      </c>
      <c r="H220" s="1">
        <v>7261</v>
      </c>
      <c r="I220" s="1" t="s">
        <v>14</v>
      </c>
      <c r="J220" s="1">
        <f t="shared" si="3"/>
        <v>53</v>
      </c>
    </row>
    <row r="221" spans="1:10" x14ac:dyDescent="0.3">
      <c r="A221" s="2" t="s">
        <v>29</v>
      </c>
      <c r="B221" s="2" t="s">
        <v>19</v>
      </c>
      <c r="C221" s="2" t="s">
        <v>17</v>
      </c>
      <c r="D221" s="2">
        <v>135</v>
      </c>
      <c r="E221" s="2">
        <v>140</v>
      </c>
      <c r="F221" s="2">
        <v>0</v>
      </c>
      <c r="G221" s="2">
        <v>179</v>
      </c>
      <c r="H221" s="2">
        <v>25060</v>
      </c>
      <c r="I221" s="2" t="s">
        <v>12</v>
      </c>
      <c r="J221" s="2">
        <f t="shared" si="3"/>
        <v>140</v>
      </c>
    </row>
    <row r="222" spans="1:10" x14ac:dyDescent="0.3">
      <c r="A222" s="1" t="s">
        <v>26</v>
      </c>
      <c r="B222" s="1" t="s">
        <v>27</v>
      </c>
      <c r="C222" s="1" t="s">
        <v>21</v>
      </c>
      <c r="D222" s="1">
        <v>167</v>
      </c>
      <c r="E222" s="1">
        <v>182</v>
      </c>
      <c r="F222" s="1">
        <v>5</v>
      </c>
      <c r="G222" s="1">
        <v>180</v>
      </c>
      <c r="H222" s="1">
        <v>31860</v>
      </c>
      <c r="I222" s="1" t="s">
        <v>14</v>
      </c>
      <c r="J222" s="1">
        <f t="shared" si="3"/>
        <v>177</v>
      </c>
    </row>
    <row r="223" spans="1:10" x14ac:dyDescent="0.3">
      <c r="A223" s="2" t="s">
        <v>30</v>
      </c>
      <c r="B223" s="2" t="s">
        <v>10</v>
      </c>
      <c r="C223" s="2" t="s">
        <v>13</v>
      </c>
      <c r="D223" s="2">
        <v>30</v>
      </c>
      <c r="E223" s="2">
        <v>35</v>
      </c>
      <c r="F223" s="2">
        <v>10</v>
      </c>
      <c r="G223" s="2">
        <v>83</v>
      </c>
      <c r="H223" s="2">
        <v>2075</v>
      </c>
      <c r="I223" s="2" t="s">
        <v>12</v>
      </c>
      <c r="J223" s="2">
        <f t="shared" si="3"/>
        <v>25</v>
      </c>
    </row>
    <row r="224" spans="1:10" x14ac:dyDescent="0.3">
      <c r="A224" s="1" t="s">
        <v>20</v>
      </c>
      <c r="B224" s="1" t="s">
        <v>16</v>
      </c>
      <c r="C224" s="1" t="s">
        <v>17</v>
      </c>
      <c r="D224" s="1">
        <v>113</v>
      </c>
      <c r="E224" s="1">
        <v>113</v>
      </c>
      <c r="F224" s="1">
        <v>5</v>
      </c>
      <c r="G224" s="1">
        <v>73</v>
      </c>
      <c r="H224" s="1">
        <v>7884</v>
      </c>
      <c r="I224" s="1" t="s">
        <v>14</v>
      </c>
      <c r="J224" s="1">
        <f t="shared" si="3"/>
        <v>108</v>
      </c>
    </row>
    <row r="225" spans="1:10" x14ac:dyDescent="0.3">
      <c r="A225" s="2" t="s">
        <v>15</v>
      </c>
      <c r="B225" s="2" t="s">
        <v>16</v>
      </c>
      <c r="C225" s="2" t="s">
        <v>25</v>
      </c>
      <c r="D225" s="2">
        <v>27</v>
      </c>
      <c r="E225" s="2">
        <v>27</v>
      </c>
      <c r="F225" s="2">
        <v>0</v>
      </c>
      <c r="G225" s="2">
        <v>116</v>
      </c>
      <c r="H225" s="2">
        <v>3132</v>
      </c>
      <c r="I225" s="2" t="s">
        <v>12</v>
      </c>
      <c r="J225" s="2">
        <f t="shared" si="3"/>
        <v>27</v>
      </c>
    </row>
    <row r="226" spans="1:10" x14ac:dyDescent="0.3">
      <c r="A226" s="1" t="s">
        <v>31</v>
      </c>
      <c r="B226" s="1" t="s">
        <v>32</v>
      </c>
      <c r="C226" s="1" t="s">
        <v>21</v>
      </c>
      <c r="D226" s="1">
        <v>187</v>
      </c>
      <c r="E226" s="1">
        <v>197</v>
      </c>
      <c r="F226" s="1">
        <v>10</v>
      </c>
      <c r="G226" s="1">
        <v>94</v>
      </c>
      <c r="H226" s="1">
        <v>17578</v>
      </c>
      <c r="I226" s="1" t="s">
        <v>14</v>
      </c>
      <c r="J226" s="1">
        <f t="shared" si="3"/>
        <v>187</v>
      </c>
    </row>
    <row r="227" spans="1:10" x14ac:dyDescent="0.3">
      <c r="A227" s="2" t="s">
        <v>31</v>
      </c>
      <c r="B227" s="2" t="s">
        <v>32</v>
      </c>
      <c r="C227" s="2" t="s">
        <v>24</v>
      </c>
      <c r="D227" s="2">
        <v>136</v>
      </c>
      <c r="E227" s="2">
        <v>151</v>
      </c>
      <c r="F227" s="2">
        <v>5</v>
      </c>
      <c r="G227" s="2">
        <v>119</v>
      </c>
      <c r="H227" s="2">
        <v>17374</v>
      </c>
      <c r="I227" s="2" t="s">
        <v>12</v>
      </c>
      <c r="J227" s="2">
        <f t="shared" si="3"/>
        <v>146</v>
      </c>
    </row>
    <row r="228" spans="1:10" x14ac:dyDescent="0.3">
      <c r="A228" s="1" t="s">
        <v>22</v>
      </c>
      <c r="B228" s="1" t="s">
        <v>23</v>
      </c>
      <c r="C228" s="1" t="s">
        <v>25</v>
      </c>
      <c r="D228" s="1">
        <v>23</v>
      </c>
      <c r="E228" s="1">
        <v>28</v>
      </c>
      <c r="F228" s="1">
        <v>10</v>
      </c>
      <c r="G228" s="1">
        <v>287</v>
      </c>
      <c r="H228" s="1">
        <v>5166</v>
      </c>
      <c r="I228" s="1" t="s">
        <v>12</v>
      </c>
      <c r="J228" s="1">
        <f t="shared" si="3"/>
        <v>18</v>
      </c>
    </row>
    <row r="229" spans="1:10" x14ac:dyDescent="0.3">
      <c r="A229" s="2" t="s">
        <v>31</v>
      </c>
      <c r="B229" s="2" t="s">
        <v>32</v>
      </c>
      <c r="C229" s="2" t="s">
        <v>17</v>
      </c>
      <c r="D229" s="2">
        <v>159</v>
      </c>
      <c r="E229" s="2">
        <v>164</v>
      </c>
      <c r="F229" s="2">
        <v>0</v>
      </c>
      <c r="G229" s="2">
        <v>91</v>
      </c>
      <c r="H229" s="2">
        <v>14924</v>
      </c>
      <c r="I229" s="2" t="s">
        <v>12</v>
      </c>
      <c r="J229" s="2">
        <f t="shared" si="3"/>
        <v>164</v>
      </c>
    </row>
    <row r="230" spans="1:10" x14ac:dyDescent="0.3">
      <c r="A230" s="1" t="s">
        <v>20</v>
      </c>
      <c r="B230" s="1" t="s">
        <v>16</v>
      </c>
      <c r="C230" s="1" t="s">
        <v>21</v>
      </c>
      <c r="D230" s="1">
        <v>81</v>
      </c>
      <c r="E230" s="1">
        <v>91</v>
      </c>
      <c r="F230" s="1">
        <v>5</v>
      </c>
      <c r="G230" s="1">
        <v>95</v>
      </c>
      <c r="H230" s="1">
        <v>8170</v>
      </c>
      <c r="I230" s="1" t="s">
        <v>12</v>
      </c>
      <c r="J230" s="1">
        <f t="shared" si="3"/>
        <v>86</v>
      </c>
    </row>
    <row r="231" spans="1:10" x14ac:dyDescent="0.3">
      <c r="A231" s="2" t="s">
        <v>28</v>
      </c>
      <c r="B231" s="2" t="s">
        <v>10</v>
      </c>
      <c r="C231" s="2" t="s">
        <v>11</v>
      </c>
      <c r="D231" s="2">
        <v>97</v>
      </c>
      <c r="E231" s="2">
        <v>112</v>
      </c>
      <c r="F231" s="2">
        <v>0</v>
      </c>
      <c r="G231" s="2">
        <v>147</v>
      </c>
      <c r="H231" s="2">
        <v>16464</v>
      </c>
      <c r="I231" s="2" t="s">
        <v>12</v>
      </c>
      <c r="J231" s="2">
        <f t="shared" si="3"/>
        <v>112</v>
      </c>
    </row>
    <row r="232" spans="1:10" x14ac:dyDescent="0.3">
      <c r="A232" s="1" t="s">
        <v>26</v>
      </c>
      <c r="B232" s="1" t="s">
        <v>27</v>
      </c>
      <c r="C232" s="1" t="s">
        <v>24</v>
      </c>
      <c r="D232" s="1">
        <v>128</v>
      </c>
      <c r="E232" s="1">
        <v>128</v>
      </c>
      <c r="F232" s="1">
        <v>5</v>
      </c>
      <c r="G232" s="1">
        <v>70</v>
      </c>
      <c r="H232" s="1">
        <v>8610</v>
      </c>
      <c r="I232" s="1" t="s">
        <v>12</v>
      </c>
      <c r="J232" s="1">
        <f t="shared" si="3"/>
        <v>123</v>
      </c>
    </row>
    <row r="233" spans="1:10" x14ac:dyDescent="0.3">
      <c r="A233" s="2" t="s">
        <v>26</v>
      </c>
      <c r="B233" s="2" t="s">
        <v>27</v>
      </c>
      <c r="C233" s="2" t="s">
        <v>25</v>
      </c>
      <c r="D233" s="2">
        <v>139</v>
      </c>
      <c r="E233" s="2">
        <v>139</v>
      </c>
      <c r="F233" s="2">
        <v>5</v>
      </c>
      <c r="G233" s="2">
        <v>143</v>
      </c>
      <c r="H233" s="2">
        <v>19162</v>
      </c>
      <c r="I233" s="2" t="s">
        <v>14</v>
      </c>
      <c r="J233" s="2">
        <f t="shared" si="3"/>
        <v>134</v>
      </c>
    </row>
    <row r="234" spans="1:10" x14ac:dyDescent="0.3">
      <c r="A234" s="1" t="s">
        <v>9</v>
      </c>
      <c r="B234" s="1" t="s">
        <v>10</v>
      </c>
      <c r="C234" s="1" t="s">
        <v>13</v>
      </c>
      <c r="D234" s="1">
        <v>131</v>
      </c>
      <c r="E234" s="1">
        <v>141</v>
      </c>
      <c r="F234" s="1">
        <v>10</v>
      </c>
      <c r="G234" s="1">
        <v>154</v>
      </c>
      <c r="H234" s="1">
        <v>20174</v>
      </c>
      <c r="I234" s="1" t="s">
        <v>12</v>
      </c>
      <c r="J234" s="1">
        <f t="shared" si="3"/>
        <v>131</v>
      </c>
    </row>
    <row r="235" spans="1:10" x14ac:dyDescent="0.3">
      <c r="A235" s="2" t="s">
        <v>28</v>
      </c>
      <c r="B235" s="2" t="s">
        <v>10</v>
      </c>
      <c r="C235" s="2" t="s">
        <v>24</v>
      </c>
      <c r="D235" s="2">
        <v>74</v>
      </c>
      <c r="E235" s="2">
        <v>79</v>
      </c>
      <c r="F235" s="2">
        <v>0</v>
      </c>
      <c r="G235" s="2">
        <v>257</v>
      </c>
      <c r="H235" s="2">
        <v>20303</v>
      </c>
      <c r="I235" s="2" t="s">
        <v>12</v>
      </c>
      <c r="J235" s="2">
        <f t="shared" si="3"/>
        <v>79</v>
      </c>
    </row>
    <row r="236" spans="1:10" x14ac:dyDescent="0.3">
      <c r="A236" s="1" t="s">
        <v>30</v>
      </c>
      <c r="B236" s="1" t="s">
        <v>10</v>
      </c>
      <c r="C236" s="1" t="s">
        <v>11</v>
      </c>
      <c r="D236" s="1">
        <v>43</v>
      </c>
      <c r="E236" s="1">
        <v>43</v>
      </c>
      <c r="F236" s="1">
        <v>0</v>
      </c>
      <c r="G236" s="1">
        <v>94</v>
      </c>
      <c r="H236" s="1">
        <v>4042</v>
      </c>
      <c r="I236" s="1" t="s">
        <v>14</v>
      </c>
      <c r="J236" s="1">
        <f t="shared" si="3"/>
        <v>43</v>
      </c>
    </row>
    <row r="237" spans="1:10" x14ac:dyDescent="0.3">
      <c r="A237" s="2" t="s">
        <v>28</v>
      </c>
      <c r="B237" s="2" t="s">
        <v>10</v>
      </c>
      <c r="C237" s="2" t="s">
        <v>13</v>
      </c>
      <c r="D237" s="2">
        <v>81</v>
      </c>
      <c r="E237" s="2">
        <v>81</v>
      </c>
      <c r="F237" s="2">
        <v>0</v>
      </c>
      <c r="G237" s="2">
        <v>154</v>
      </c>
      <c r="H237" s="2">
        <v>12474</v>
      </c>
      <c r="I237" s="2" t="s">
        <v>14</v>
      </c>
      <c r="J237" s="2">
        <f t="shared" si="3"/>
        <v>81</v>
      </c>
    </row>
    <row r="238" spans="1:10" x14ac:dyDescent="0.3">
      <c r="A238" s="1" t="s">
        <v>22</v>
      </c>
      <c r="B238" s="1" t="s">
        <v>23</v>
      </c>
      <c r="C238" s="1" t="s">
        <v>25</v>
      </c>
      <c r="D238" s="1">
        <v>59</v>
      </c>
      <c r="E238" s="1">
        <v>64</v>
      </c>
      <c r="F238" s="1">
        <v>10</v>
      </c>
      <c r="G238" s="1">
        <v>111</v>
      </c>
      <c r="H238" s="1">
        <v>5994</v>
      </c>
      <c r="I238" s="1" t="s">
        <v>12</v>
      </c>
      <c r="J238" s="1">
        <f t="shared" si="3"/>
        <v>54</v>
      </c>
    </row>
    <row r="239" spans="1:10" x14ac:dyDescent="0.3">
      <c r="A239" s="2" t="s">
        <v>28</v>
      </c>
      <c r="B239" s="2" t="s">
        <v>10</v>
      </c>
      <c r="C239" s="2" t="s">
        <v>25</v>
      </c>
      <c r="D239" s="2">
        <v>76</v>
      </c>
      <c r="E239" s="2">
        <v>76</v>
      </c>
      <c r="F239" s="2">
        <v>0</v>
      </c>
      <c r="G239" s="2">
        <v>238</v>
      </c>
      <c r="H239" s="2">
        <v>18088</v>
      </c>
      <c r="I239" s="2" t="s">
        <v>12</v>
      </c>
      <c r="J239" s="2">
        <f t="shared" si="3"/>
        <v>76</v>
      </c>
    </row>
    <row r="240" spans="1:10" x14ac:dyDescent="0.3">
      <c r="A240" s="1" t="s">
        <v>29</v>
      </c>
      <c r="B240" s="1" t="s">
        <v>19</v>
      </c>
      <c r="C240" s="1" t="s">
        <v>25</v>
      </c>
      <c r="D240" s="1">
        <v>140</v>
      </c>
      <c r="E240" s="1">
        <v>155</v>
      </c>
      <c r="F240" s="1">
        <v>5</v>
      </c>
      <c r="G240" s="1">
        <v>259</v>
      </c>
      <c r="H240" s="1">
        <v>38850</v>
      </c>
      <c r="I240" s="1" t="s">
        <v>12</v>
      </c>
      <c r="J240" s="1">
        <f t="shared" si="3"/>
        <v>150</v>
      </c>
    </row>
    <row r="241" spans="1:10" x14ac:dyDescent="0.3">
      <c r="A241" s="2" t="s">
        <v>30</v>
      </c>
      <c r="B241" s="2" t="s">
        <v>10</v>
      </c>
      <c r="C241" s="2" t="s">
        <v>17</v>
      </c>
      <c r="D241" s="2">
        <v>63</v>
      </c>
      <c r="E241" s="2">
        <v>78</v>
      </c>
      <c r="F241" s="2">
        <v>10</v>
      </c>
      <c r="G241" s="2">
        <v>106</v>
      </c>
      <c r="H241" s="2">
        <v>7208</v>
      </c>
      <c r="I241" s="2" t="s">
        <v>12</v>
      </c>
      <c r="J241" s="2">
        <f t="shared" si="3"/>
        <v>68</v>
      </c>
    </row>
    <row r="242" spans="1:10" x14ac:dyDescent="0.3">
      <c r="A242" s="1" t="s">
        <v>31</v>
      </c>
      <c r="B242" s="1" t="s">
        <v>32</v>
      </c>
      <c r="C242" s="1" t="s">
        <v>24</v>
      </c>
      <c r="D242" s="1">
        <v>181</v>
      </c>
      <c r="E242" s="1">
        <v>186</v>
      </c>
      <c r="F242" s="1">
        <v>10</v>
      </c>
      <c r="G242" s="1">
        <v>108</v>
      </c>
      <c r="H242" s="1">
        <v>19008</v>
      </c>
      <c r="I242" s="1" t="s">
        <v>12</v>
      </c>
      <c r="J242" s="1">
        <f t="shared" si="3"/>
        <v>176</v>
      </c>
    </row>
    <row r="243" spans="1:10" x14ac:dyDescent="0.3">
      <c r="A243" s="2" t="s">
        <v>15</v>
      </c>
      <c r="B243" s="2" t="s">
        <v>16</v>
      </c>
      <c r="C243" s="2" t="s">
        <v>17</v>
      </c>
      <c r="D243" s="2">
        <v>129</v>
      </c>
      <c r="E243" s="2">
        <v>144</v>
      </c>
      <c r="F243" s="2">
        <v>0</v>
      </c>
      <c r="G243" s="2">
        <v>204</v>
      </c>
      <c r="H243" s="2">
        <v>29376</v>
      </c>
      <c r="I243" s="2" t="s">
        <v>12</v>
      </c>
      <c r="J243" s="2">
        <f t="shared" si="3"/>
        <v>144</v>
      </c>
    </row>
    <row r="244" spans="1:10" x14ac:dyDescent="0.3">
      <c r="A244" s="1" t="s">
        <v>18</v>
      </c>
      <c r="B244" s="1" t="s">
        <v>19</v>
      </c>
      <c r="C244" s="1" t="s">
        <v>24</v>
      </c>
      <c r="D244" s="1">
        <v>24</v>
      </c>
      <c r="E244" s="1">
        <v>29</v>
      </c>
      <c r="F244" s="1">
        <v>5</v>
      </c>
      <c r="G244" s="1">
        <v>137</v>
      </c>
      <c r="H244" s="1">
        <v>3288</v>
      </c>
      <c r="I244" s="1" t="s">
        <v>12</v>
      </c>
      <c r="J244" s="1">
        <f t="shared" si="3"/>
        <v>24</v>
      </c>
    </row>
    <row r="245" spans="1:10" x14ac:dyDescent="0.3">
      <c r="A245" s="2" t="s">
        <v>29</v>
      </c>
      <c r="B245" s="2" t="s">
        <v>19</v>
      </c>
      <c r="C245" s="2" t="s">
        <v>11</v>
      </c>
      <c r="D245" s="2">
        <v>82</v>
      </c>
      <c r="E245" s="2">
        <v>87</v>
      </c>
      <c r="F245" s="2">
        <v>5</v>
      </c>
      <c r="G245" s="2">
        <v>77</v>
      </c>
      <c r="H245" s="2">
        <v>6314</v>
      </c>
      <c r="I245" s="2" t="s">
        <v>12</v>
      </c>
      <c r="J245" s="2">
        <f t="shared" si="3"/>
        <v>82</v>
      </c>
    </row>
    <row r="246" spans="1:10" x14ac:dyDescent="0.3">
      <c r="A246" s="1" t="s">
        <v>31</v>
      </c>
      <c r="B246" s="1" t="s">
        <v>32</v>
      </c>
      <c r="C246" s="1" t="s">
        <v>25</v>
      </c>
      <c r="D246" s="1">
        <v>87</v>
      </c>
      <c r="E246" s="1">
        <v>92</v>
      </c>
      <c r="F246" s="1">
        <v>10</v>
      </c>
      <c r="G246" s="1">
        <v>255</v>
      </c>
      <c r="H246" s="1">
        <v>20910</v>
      </c>
      <c r="I246" s="1" t="s">
        <v>12</v>
      </c>
      <c r="J246" s="1">
        <f t="shared" si="3"/>
        <v>82</v>
      </c>
    </row>
    <row r="247" spans="1:10" x14ac:dyDescent="0.3">
      <c r="A247" s="2" t="s">
        <v>29</v>
      </c>
      <c r="B247" s="2" t="s">
        <v>19</v>
      </c>
      <c r="C247" s="2" t="s">
        <v>24</v>
      </c>
      <c r="D247" s="2">
        <v>174</v>
      </c>
      <c r="E247" s="2">
        <v>184</v>
      </c>
      <c r="F247" s="2">
        <v>0</v>
      </c>
      <c r="G247" s="2">
        <v>129</v>
      </c>
      <c r="H247" s="2">
        <v>23736</v>
      </c>
      <c r="I247" s="2" t="s">
        <v>12</v>
      </c>
      <c r="J247" s="2">
        <f t="shared" si="3"/>
        <v>184</v>
      </c>
    </row>
    <row r="248" spans="1:10" x14ac:dyDescent="0.3">
      <c r="A248" s="1" t="s">
        <v>22</v>
      </c>
      <c r="B248" s="1" t="s">
        <v>23</v>
      </c>
      <c r="C248" s="1" t="s">
        <v>11</v>
      </c>
      <c r="D248" s="1">
        <v>63</v>
      </c>
      <c r="E248" s="1">
        <v>63</v>
      </c>
      <c r="F248" s="1">
        <v>0</v>
      </c>
      <c r="G248" s="1">
        <v>178</v>
      </c>
      <c r="H248" s="1">
        <v>11214</v>
      </c>
      <c r="I248" s="1" t="s">
        <v>12</v>
      </c>
      <c r="J248" s="1">
        <f t="shared" si="3"/>
        <v>63</v>
      </c>
    </row>
    <row r="249" spans="1:10" x14ac:dyDescent="0.3">
      <c r="A249" s="2" t="s">
        <v>28</v>
      </c>
      <c r="B249" s="2" t="s">
        <v>10</v>
      </c>
      <c r="C249" s="2" t="s">
        <v>21</v>
      </c>
      <c r="D249" s="2">
        <v>149</v>
      </c>
      <c r="E249" s="2">
        <v>159</v>
      </c>
      <c r="F249" s="2">
        <v>10</v>
      </c>
      <c r="G249" s="2">
        <v>269</v>
      </c>
      <c r="H249" s="2">
        <v>40081</v>
      </c>
      <c r="I249" s="2" t="s">
        <v>12</v>
      </c>
      <c r="J249" s="2">
        <f t="shared" si="3"/>
        <v>149</v>
      </c>
    </row>
    <row r="250" spans="1:10" x14ac:dyDescent="0.3">
      <c r="A250" s="1" t="s">
        <v>31</v>
      </c>
      <c r="B250" s="1" t="s">
        <v>32</v>
      </c>
      <c r="C250" s="1" t="s">
        <v>17</v>
      </c>
      <c r="D250" s="1">
        <v>119</v>
      </c>
      <c r="E250" s="1">
        <v>119</v>
      </c>
      <c r="F250" s="1">
        <v>0</v>
      </c>
      <c r="G250" s="1">
        <v>230</v>
      </c>
      <c r="H250" s="1">
        <v>27370</v>
      </c>
      <c r="I250" s="1" t="s">
        <v>12</v>
      </c>
      <c r="J250" s="1">
        <f t="shared" si="3"/>
        <v>119</v>
      </c>
    </row>
    <row r="251" spans="1:10" x14ac:dyDescent="0.3">
      <c r="A251" s="2" t="s">
        <v>9</v>
      </c>
      <c r="B251" s="2" t="s">
        <v>10</v>
      </c>
      <c r="C251" s="2" t="s">
        <v>11</v>
      </c>
      <c r="D251" s="2">
        <v>106</v>
      </c>
      <c r="E251" s="2">
        <v>116</v>
      </c>
      <c r="F251" s="2">
        <v>0</v>
      </c>
      <c r="G251" s="2">
        <v>115</v>
      </c>
      <c r="H251" s="2">
        <v>13340</v>
      </c>
      <c r="I251" s="2" t="s">
        <v>14</v>
      </c>
      <c r="J251" s="2">
        <f t="shared" si="3"/>
        <v>116</v>
      </c>
    </row>
    <row r="252" spans="1:10" x14ac:dyDescent="0.3">
      <c r="A252" s="1" t="s">
        <v>29</v>
      </c>
      <c r="B252" s="1" t="s">
        <v>19</v>
      </c>
      <c r="C252" s="1" t="s">
        <v>17</v>
      </c>
      <c r="D252" s="1">
        <v>85</v>
      </c>
      <c r="E252" s="1">
        <v>90</v>
      </c>
      <c r="F252" s="1">
        <v>5</v>
      </c>
      <c r="G252" s="1">
        <v>195</v>
      </c>
      <c r="H252" s="1">
        <v>16575</v>
      </c>
      <c r="I252" s="1" t="s">
        <v>14</v>
      </c>
      <c r="J252" s="1">
        <f t="shared" si="3"/>
        <v>85</v>
      </c>
    </row>
    <row r="253" spans="1:10" x14ac:dyDescent="0.3">
      <c r="A253" s="2" t="s">
        <v>15</v>
      </c>
      <c r="B253" s="2" t="s">
        <v>16</v>
      </c>
      <c r="C253" s="2" t="s">
        <v>24</v>
      </c>
      <c r="D253" s="2">
        <v>129</v>
      </c>
      <c r="E253" s="2">
        <v>139</v>
      </c>
      <c r="F253" s="2">
        <v>0</v>
      </c>
      <c r="G253" s="2">
        <v>195</v>
      </c>
      <c r="H253" s="2">
        <v>27105</v>
      </c>
      <c r="I253" s="2" t="s">
        <v>14</v>
      </c>
      <c r="J253" s="2">
        <f t="shared" si="3"/>
        <v>139</v>
      </c>
    </row>
    <row r="254" spans="1:10" x14ac:dyDescent="0.3">
      <c r="A254" s="1" t="s">
        <v>26</v>
      </c>
      <c r="B254" s="1" t="s">
        <v>27</v>
      </c>
      <c r="C254" s="1" t="s">
        <v>13</v>
      </c>
      <c r="D254" s="1">
        <v>80</v>
      </c>
      <c r="E254" s="1">
        <v>85</v>
      </c>
      <c r="F254" s="1">
        <v>10</v>
      </c>
      <c r="G254" s="1">
        <v>67</v>
      </c>
      <c r="H254" s="1">
        <v>5025</v>
      </c>
      <c r="I254" s="1" t="s">
        <v>14</v>
      </c>
      <c r="J254" s="1">
        <f t="shared" si="3"/>
        <v>75</v>
      </c>
    </row>
    <row r="255" spans="1:10" x14ac:dyDescent="0.3">
      <c r="A255" s="2" t="s">
        <v>30</v>
      </c>
      <c r="B255" s="2" t="s">
        <v>10</v>
      </c>
      <c r="C255" s="2" t="s">
        <v>11</v>
      </c>
      <c r="D255" s="2">
        <v>184</v>
      </c>
      <c r="E255" s="2">
        <v>194</v>
      </c>
      <c r="F255" s="2">
        <v>0</v>
      </c>
      <c r="G255" s="2">
        <v>271</v>
      </c>
      <c r="H255" s="2">
        <v>52574</v>
      </c>
      <c r="I255" s="2" t="s">
        <v>14</v>
      </c>
      <c r="J255" s="2">
        <f t="shared" si="3"/>
        <v>194</v>
      </c>
    </row>
    <row r="256" spans="1:10" x14ac:dyDescent="0.3">
      <c r="A256" s="1" t="s">
        <v>28</v>
      </c>
      <c r="B256" s="1" t="s">
        <v>10</v>
      </c>
      <c r="C256" s="1" t="s">
        <v>11</v>
      </c>
      <c r="D256" s="1">
        <v>163</v>
      </c>
      <c r="E256" s="1">
        <v>178</v>
      </c>
      <c r="F256" s="1">
        <v>5</v>
      </c>
      <c r="G256" s="1">
        <v>214</v>
      </c>
      <c r="H256" s="1">
        <v>37022</v>
      </c>
      <c r="I256" s="1" t="s">
        <v>14</v>
      </c>
      <c r="J256" s="1">
        <f t="shared" si="3"/>
        <v>173</v>
      </c>
    </row>
    <row r="257" spans="1:10" x14ac:dyDescent="0.3">
      <c r="A257" s="2" t="s">
        <v>29</v>
      </c>
      <c r="B257" s="2" t="s">
        <v>19</v>
      </c>
      <c r="C257" s="2" t="s">
        <v>11</v>
      </c>
      <c r="D257" s="2">
        <v>175</v>
      </c>
      <c r="E257" s="2">
        <v>190</v>
      </c>
      <c r="F257" s="2">
        <v>5</v>
      </c>
      <c r="G257" s="2">
        <v>288</v>
      </c>
      <c r="H257" s="2">
        <v>53280</v>
      </c>
      <c r="I257" s="2" t="s">
        <v>14</v>
      </c>
      <c r="J257" s="2">
        <f t="shared" si="3"/>
        <v>185</v>
      </c>
    </row>
    <row r="258" spans="1:10" x14ac:dyDescent="0.3">
      <c r="A258" s="1" t="s">
        <v>29</v>
      </c>
      <c r="B258" s="1" t="s">
        <v>19</v>
      </c>
      <c r="C258" s="1" t="s">
        <v>21</v>
      </c>
      <c r="D258" s="1">
        <v>72</v>
      </c>
      <c r="E258" s="1">
        <v>82</v>
      </c>
      <c r="F258" s="1">
        <v>0</v>
      </c>
      <c r="G258" s="1">
        <v>105</v>
      </c>
      <c r="H258" s="1">
        <v>8610</v>
      </c>
      <c r="I258" s="1" t="s">
        <v>12</v>
      </c>
      <c r="J258" s="1">
        <f t="shared" si="3"/>
        <v>82</v>
      </c>
    </row>
    <row r="259" spans="1:10" x14ac:dyDescent="0.3">
      <c r="A259" s="2" t="s">
        <v>26</v>
      </c>
      <c r="B259" s="2" t="s">
        <v>27</v>
      </c>
      <c r="C259" s="2" t="s">
        <v>24</v>
      </c>
      <c r="D259" s="2">
        <v>160</v>
      </c>
      <c r="E259" s="2">
        <v>165</v>
      </c>
      <c r="F259" s="2">
        <v>0</v>
      </c>
      <c r="G259" s="2">
        <v>157</v>
      </c>
      <c r="H259" s="2">
        <v>25905</v>
      </c>
      <c r="I259" s="2" t="s">
        <v>12</v>
      </c>
      <c r="J259" s="2">
        <f t="shared" ref="J259:J301" si="4">H259/G259</f>
        <v>165</v>
      </c>
    </row>
    <row r="260" spans="1:10" x14ac:dyDescent="0.3">
      <c r="A260" s="1" t="s">
        <v>15</v>
      </c>
      <c r="B260" s="1" t="s">
        <v>16</v>
      </c>
      <c r="C260" s="1" t="s">
        <v>24</v>
      </c>
      <c r="D260" s="1">
        <v>132</v>
      </c>
      <c r="E260" s="1">
        <v>142</v>
      </c>
      <c r="F260" s="1">
        <v>5</v>
      </c>
      <c r="G260" s="1">
        <v>225</v>
      </c>
      <c r="H260" s="1">
        <v>30825</v>
      </c>
      <c r="I260" s="1" t="s">
        <v>12</v>
      </c>
      <c r="J260" s="1">
        <f t="shared" si="4"/>
        <v>137</v>
      </c>
    </row>
    <row r="261" spans="1:10" x14ac:dyDescent="0.3">
      <c r="A261" s="2" t="s">
        <v>31</v>
      </c>
      <c r="B261" s="2" t="s">
        <v>32</v>
      </c>
      <c r="C261" s="2" t="s">
        <v>17</v>
      </c>
      <c r="D261" s="2">
        <v>69</v>
      </c>
      <c r="E261" s="2">
        <v>69</v>
      </c>
      <c r="F261" s="2">
        <v>10</v>
      </c>
      <c r="G261" s="2">
        <v>243</v>
      </c>
      <c r="H261" s="2">
        <v>14337</v>
      </c>
      <c r="I261" s="2" t="s">
        <v>14</v>
      </c>
      <c r="J261" s="2">
        <f t="shared" si="4"/>
        <v>59</v>
      </c>
    </row>
    <row r="262" spans="1:10" x14ac:dyDescent="0.3">
      <c r="A262" s="1" t="s">
        <v>31</v>
      </c>
      <c r="B262" s="1" t="s">
        <v>32</v>
      </c>
      <c r="C262" s="1" t="s">
        <v>11</v>
      </c>
      <c r="D262" s="1">
        <v>75</v>
      </c>
      <c r="E262" s="1">
        <v>80</v>
      </c>
      <c r="F262" s="1">
        <v>10</v>
      </c>
      <c r="G262" s="1">
        <v>107</v>
      </c>
      <c r="H262" s="1">
        <v>7490</v>
      </c>
      <c r="I262" s="1" t="s">
        <v>12</v>
      </c>
      <c r="J262" s="1">
        <f t="shared" si="4"/>
        <v>70</v>
      </c>
    </row>
    <row r="263" spans="1:10" x14ac:dyDescent="0.3">
      <c r="A263" s="2" t="s">
        <v>29</v>
      </c>
      <c r="B263" s="2" t="s">
        <v>19</v>
      </c>
      <c r="C263" s="2" t="s">
        <v>17</v>
      </c>
      <c r="D263" s="2">
        <v>180</v>
      </c>
      <c r="E263" s="2">
        <v>185</v>
      </c>
      <c r="F263" s="2">
        <v>10</v>
      </c>
      <c r="G263" s="2">
        <v>226</v>
      </c>
      <c r="H263" s="2">
        <v>39550</v>
      </c>
      <c r="I263" s="2" t="s">
        <v>14</v>
      </c>
      <c r="J263" s="2">
        <f t="shared" si="4"/>
        <v>175</v>
      </c>
    </row>
    <row r="264" spans="1:10" x14ac:dyDescent="0.3">
      <c r="A264" s="1" t="s">
        <v>15</v>
      </c>
      <c r="B264" s="1" t="s">
        <v>16</v>
      </c>
      <c r="C264" s="1" t="s">
        <v>17</v>
      </c>
      <c r="D264" s="1">
        <v>147</v>
      </c>
      <c r="E264" s="1">
        <v>152</v>
      </c>
      <c r="F264" s="1">
        <v>5</v>
      </c>
      <c r="G264" s="1">
        <v>105</v>
      </c>
      <c r="H264" s="1">
        <v>15435</v>
      </c>
      <c r="I264" s="1" t="s">
        <v>14</v>
      </c>
      <c r="J264" s="1">
        <f t="shared" si="4"/>
        <v>147</v>
      </c>
    </row>
    <row r="265" spans="1:10" x14ac:dyDescent="0.3">
      <c r="A265" s="2" t="s">
        <v>18</v>
      </c>
      <c r="B265" s="2" t="s">
        <v>19</v>
      </c>
      <c r="C265" s="2" t="s">
        <v>21</v>
      </c>
      <c r="D265" s="2">
        <v>59</v>
      </c>
      <c r="E265" s="2">
        <v>64</v>
      </c>
      <c r="F265" s="2">
        <v>10</v>
      </c>
      <c r="G265" s="2">
        <v>229</v>
      </c>
      <c r="H265" s="2">
        <v>12366</v>
      </c>
      <c r="I265" s="2" t="s">
        <v>12</v>
      </c>
      <c r="J265" s="2">
        <f t="shared" si="4"/>
        <v>54</v>
      </c>
    </row>
    <row r="266" spans="1:10" x14ac:dyDescent="0.3">
      <c r="A266" s="1" t="s">
        <v>20</v>
      </c>
      <c r="B266" s="1" t="s">
        <v>16</v>
      </c>
      <c r="C266" s="1" t="s">
        <v>24</v>
      </c>
      <c r="D266" s="1">
        <v>113</v>
      </c>
      <c r="E266" s="1">
        <v>128</v>
      </c>
      <c r="F266" s="1">
        <v>5</v>
      </c>
      <c r="G266" s="1">
        <v>90</v>
      </c>
      <c r="H266" s="1">
        <v>11070</v>
      </c>
      <c r="I266" s="1" t="s">
        <v>14</v>
      </c>
      <c r="J266" s="1">
        <f t="shared" si="4"/>
        <v>123</v>
      </c>
    </row>
    <row r="267" spans="1:10" x14ac:dyDescent="0.3">
      <c r="A267" s="2" t="s">
        <v>26</v>
      </c>
      <c r="B267" s="2" t="s">
        <v>27</v>
      </c>
      <c r="C267" s="2" t="s">
        <v>13</v>
      </c>
      <c r="D267" s="2">
        <v>40</v>
      </c>
      <c r="E267" s="2">
        <v>50</v>
      </c>
      <c r="F267" s="2">
        <v>5</v>
      </c>
      <c r="G267" s="2">
        <v>104</v>
      </c>
      <c r="H267" s="2">
        <v>4680</v>
      </c>
      <c r="I267" s="2" t="s">
        <v>12</v>
      </c>
      <c r="J267" s="2">
        <f t="shared" si="4"/>
        <v>45</v>
      </c>
    </row>
    <row r="268" spans="1:10" x14ac:dyDescent="0.3">
      <c r="A268" s="1" t="s">
        <v>30</v>
      </c>
      <c r="B268" s="1" t="s">
        <v>10</v>
      </c>
      <c r="C268" s="1" t="s">
        <v>24</v>
      </c>
      <c r="D268" s="1">
        <v>75</v>
      </c>
      <c r="E268" s="1">
        <v>80</v>
      </c>
      <c r="F268" s="1">
        <v>10</v>
      </c>
      <c r="G268" s="1">
        <v>108</v>
      </c>
      <c r="H268" s="1">
        <v>7560</v>
      </c>
      <c r="I268" s="1" t="s">
        <v>12</v>
      </c>
      <c r="J268" s="1">
        <f t="shared" si="4"/>
        <v>70</v>
      </c>
    </row>
    <row r="269" spans="1:10" x14ac:dyDescent="0.3">
      <c r="A269" s="2" t="s">
        <v>26</v>
      </c>
      <c r="B269" s="2" t="s">
        <v>27</v>
      </c>
      <c r="C269" s="2" t="s">
        <v>17</v>
      </c>
      <c r="D269" s="2">
        <v>26</v>
      </c>
      <c r="E269" s="2">
        <v>36</v>
      </c>
      <c r="F269" s="2">
        <v>0</v>
      </c>
      <c r="G269" s="2">
        <v>184</v>
      </c>
      <c r="H269" s="2">
        <v>6624</v>
      </c>
      <c r="I269" s="2" t="s">
        <v>12</v>
      </c>
      <c r="J269" s="2">
        <f t="shared" si="4"/>
        <v>36</v>
      </c>
    </row>
    <row r="270" spans="1:10" x14ac:dyDescent="0.3">
      <c r="A270" s="1" t="s">
        <v>20</v>
      </c>
      <c r="B270" s="1" t="s">
        <v>16</v>
      </c>
      <c r="C270" s="1" t="s">
        <v>17</v>
      </c>
      <c r="D270" s="1">
        <v>51</v>
      </c>
      <c r="E270" s="1">
        <v>61</v>
      </c>
      <c r="F270" s="1">
        <v>10</v>
      </c>
      <c r="G270" s="1">
        <v>161</v>
      </c>
      <c r="H270" s="1">
        <v>8211</v>
      </c>
      <c r="I270" s="1" t="s">
        <v>12</v>
      </c>
      <c r="J270" s="1">
        <f t="shared" si="4"/>
        <v>51</v>
      </c>
    </row>
    <row r="271" spans="1:10" x14ac:dyDescent="0.3">
      <c r="A271" s="2" t="s">
        <v>30</v>
      </c>
      <c r="B271" s="2" t="s">
        <v>10</v>
      </c>
      <c r="C271" s="2" t="s">
        <v>24</v>
      </c>
      <c r="D271" s="2">
        <v>101</v>
      </c>
      <c r="E271" s="2">
        <v>111</v>
      </c>
      <c r="F271" s="2">
        <v>0</v>
      </c>
      <c r="G271" s="2">
        <v>85</v>
      </c>
      <c r="H271" s="2">
        <v>9435</v>
      </c>
      <c r="I271" s="2" t="s">
        <v>14</v>
      </c>
      <c r="J271" s="2">
        <f t="shared" si="4"/>
        <v>111</v>
      </c>
    </row>
    <row r="272" spans="1:10" x14ac:dyDescent="0.3">
      <c r="A272" s="1" t="s">
        <v>31</v>
      </c>
      <c r="B272" s="1" t="s">
        <v>32</v>
      </c>
      <c r="C272" s="1" t="s">
        <v>17</v>
      </c>
      <c r="D272" s="1">
        <v>175</v>
      </c>
      <c r="E272" s="1">
        <v>190</v>
      </c>
      <c r="F272" s="1">
        <v>5</v>
      </c>
      <c r="G272" s="1">
        <v>80</v>
      </c>
      <c r="H272" s="1">
        <v>14800</v>
      </c>
      <c r="I272" s="1" t="s">
        <v>12</v>
      </c>
      <c r="J272" s="1">
        <f t="shared" si="4"/>
        <v>185</v>
      </c>
    </row>
    <row r="273" spans="1:10" x14ac:dyDescent="0.3">
      <c r="A273" s="2" t="s">
        <v>31</v>
      </c>
      <c r="B273" s="2" t="s">
        <v>32</v>
      </c>
      <c r="C273" s="2" t="s">
        <v>13</v>
      </c>
      <c r="D273" s="2">
        <v>21</v>
      </c>
      <c r="E273" s="2">
        <v>21</v>
      </c>
      <c r="F273" s="2">
        <v>5</v>
      </c>
      <c r="G273" s="2">
        <v>87</v>
      </c>
      <c r="H273" s="2">
        <v>1392</v>
      </c>
      <c r="I273" s="2" t="s">
        <v>12</v>
      </c>
      <c r="J273" s="2">
        <f t="shared" si="4"/>
        <v>16</v>
      </c>
    </row>
    <row r="274" spans="1:10" x14ac:dyDescent="0.3">
      <c r="A274" s="1" t="s">
        <v>26</v>
      </c>
      <c r="B274" s="1" t="s">
        <v>27</v>
      </c>
      <c r="C274" s="1" t="s">
        <v>11</v>
      </c>
      <c r="D274" s="1">
        <v>117</v>
      </c>
      <c r="E274" s="1">
        <v>132</v>
      </c>
      <c r="F274" s="1">
        <v>0</v>
      </c>
      <c r="G274" s="1">
        <v>129</v>
      </c>
      <c r="H274" s="1">
        <v>17028</v>
      </c>
      <c r="I274" s="1" t="s">
        <v>12</v>
      </c>
      <c r="J274" s="1">
        <f t="shared" si="4"/>
        <v>132</v>
      </c>
    </row>
    <row r="275" spans="1:10" x14ac:dyDescent="0.3">
      <c r="A275" s="2" t="s">
        <v>20</v>
      </c>
      <c r="B275" s="2" t="s">
        <v>16</v>
      </c>
      <c r="C275" s="2" t="s">
        <v>13</v>
      </c>
      <c r="D275" s="2">
        <v>70</v>
      </c>
      <c r="E275" s="2">
        <v>75</v>
      </c>
      <c r="F275" s="2">
        <v>0</v>
      </c>
      <c r="G275" s="2">
        <v>270</v>
      </c>
      <c r="H275" s="2">
        <v>20250</v>
      </c>
      <c r="I275" s="2" t="s">
        <v>12</v>
      </c>
      <c r="J275" s="2">
        <f t="shared" si="4"/>
        <v>75</v>
      </c>
    </row>
    <row r="276" spans="1:10" x14ac:dyDescent="0.3">
      <c r="A276" s="1" t="s">
        <v>15</v>
      </c>
      <c r="B276" s="1" t="s">
        <v>16</v>
      </c>
      <c r="C276" s="1" t="s">
        <v>24</v>
      </c>
      <c r="D276" s="1">
        <v>107</v>
      </c>
      <c r="E276" s="1">
        <v>107</v>
      </c>
      <c r="F276" s="1">
        <v>10</v>
      </c>
      <c r="G276" s="1">
        <v>193</v>
      </c>
      <c r="H276" s="1">
        <v>18721</v>
      </c>
      <c r="I276" s="1" t="s">
        <v>14</v>
      </c>
      <c r="J276" s="1">
        <f t="shared" si="4"/>
        <v>97</v>
      </c>
    </row>
    <row r="277" spans="1:10" x14ac:dyDescent="0.3">
      <c r="A277" s="2" t="s">
        <v>26</v>
      </c>
      <c r="B277" s="2" t="s">
        <v>27</v>
      </c>
      <c r="C277" s="2" t="s">
        <v>13</v>
      </c>
      <c r="D277" s="2">
        <v>198</v>
      </c>
      <c r="E277" s="2">
        <v>213</v>
      </c>
      <c r="F277" s="2">
        <v>5</v>
      </c>
      <c r="G277" s="2">
        <v>136</v>
      </c>
      <c r="H277" s="2">
        <v>28288</v>
      </c>
      <c r="I277" s="2" t="s">
        <v>12</v>
      </c>
      <c r="J277" s="2">
        <f t="shared" si="4"/>
        <v>208</v>
      </c>
    </row>
    <row r="278" spans="1:10" x14ac:dyDescent="0.3">
      <c r="A278" s="1" t="s">
        <v>30</v>
      </c>
      <c r="B278" s="1" t="s">
        <v>10</v>
      </c>
      <c r="C278" s="1" t="s">
        <v>13</v>
      </c>
      <c r="D278" s="1">
        <v>161</v>
      </c>
      <c r="E278" s="1">
        <v>161</v>
      </c>
      <c r="F278" s="1">
        <v>0</v>
      </c>
      <c r="G278" s="1">
        <v>188</v>
      </c>
      <c r="H278" s="1">
        <v>30268</v>
      </c>
      <c r="I278" s="1" t="s">
        <v>12</v>
      </c>
      <c r="J278" s="1">
        <f t="shared" si="4"/>
        <v>161</v>
      </c>
    </row>
    <row r="279" spans="1:10" x14ac:dyDescent="0.3">
      <c r="A279" s="2" t="s">
        <v>31</v>
      </c>
      <c r="B279" s="2" t="s">
        <v>32</v>
      </c>
      <c r="C279" s="2" t="s">
        <v>17</v>
      </c>
      <c r="D279" s="2">
        <v>137</v>
      </c>
      <c r="E279" s="2">
        <v>147</v>
      </c>
      <c r="F279" s="2">
        <v>5</v>
      </c>
      <c r="G279" s="2">
        <v>211</v>
      </c>
      <c r="H279" s="2">
        <v>29962</v>
      </c>
      <c r="I279" s="2" t="s">
        <v>12</v>
      </c>
      <c r="J279" s="2">
        <f t="shared" si="4"/>
        <v>142</v>
      </c>
    </row>
    <row r="280" spans="1:10" x14ac:dyDescent="0.3">
      <c r="A280" s="1" t="s">
        <v>26</v>
      </c>
      <c r="B280" s="1" t="s">
        <v>27</v>
      </c>
      <c r="C280" s="1" t="s">
        <v>17</v>
      </c>
      <c r="D280" s="1">
        <v>45</v>
      </c>
      <c r="E280" s="1">
        <v>55</v>
      </c>
      <c r="F280" s="1">
        <v>10</v>
      </c>
      <c r="G280" s="1">
        <v>84</v>
      </c>
      <c r="H280" s="1">
        <v>3780</v>
      </c>
      <c r="I280" s="1" t="s">
        <v>14</v>
      </c>
      <c r="J280" s="1">
        <f t="shared" si="4"/>
        <v>45</v>
      </c>
    </row>
    <row r="281" spans="1:10" x14ac:dyDescent="0.3">
      <c r="A281" s="2" t="s">
        <v>31</v>
      </c>
      <c r="B281" s="2" t="s">
        <v>32</v>
      </c>
      <c r="C281" s="2" t="s">
        <v>24</v>
      </c>
      <c r="D281" s="2">
        <v>191</v>
      </c>
      <c r="E281" s="2">
        <v>206</v>
      </c>
      <c r="F281" s="2">
        <v>10</v>
      </c>
      <c r="G281" s="2">
        <v>297</v>
      </c>
      <c r="H281" s="2">
        <v>58212</v>
      </c>
      <c r="I281" s="2" t="s">
        <v>12</v>
      </c>
      <c r="J281" s="2">
        <f t="shared" si="4"/>
        <v>196</v>
      </c>
    </row>
    <row r="282" spans="1:10" x14ac:dyDescent="0.3">
      <c r="A282" s="1" t="s">
        <v>26</v>
      </c>
      <c r="B282" s="1" t="s">
        <v>27</v>
      </c>
      <c r="C282" s="1" t="s">
        <v>13</v>
      </c>
      <c r="D282" s="1">
        <v>125</v>
      </c>
      <c r="E282" s="1">
        <v>130</v>
      </c>
      <c r="F282" s="1">
        <v>0</v>
      </c>
      <c r="G282" s="1">
        <v>214</v>
      </c>
      <c r="H282" s="1">
        <v>27820</v>
      </c>
      <c r="I282" s="1" t="s">
        <v>12</v>
      </c>
      <c r="J282" s="1">
        <f t="shared" si="4"/>
        <v>130</v>
      </c>
    </row>
    <row r="283" spans="1:10" x14ac:dyDescent="0.3">
      <c r="A283" s="2" t="s">
        <v>22</v>
      </c>
      <c r="B283" s="2" t="s">
        <v>23</v>
      </c>
      <c r="C283" s="2" t="s">
        <v>21</v>
      </c>
      <c r="D283" s="2">
        <v>171</v>
      </c>
      <c r="E283" s="2">
        <v>186</v>
      </c>
      <c r="F283" s="2">
        <v>5</v>
      </c>
      <c r="G283" s="2">
        <v>60</v>
      </c>
      <c r="H283" s="2">
        <v>10860</v>
      </c>
      <c r="I283" s="2" t="s">
        <v>12</v>
      </c>
      <c r="J283" s="2">
        <f t="shared" si="4"/>
        <v>181</v>
      </c>
    </row>
    <row r="284" spans="1:10" x14ac:dyDescent="0.3">
      <c r="A284" s="1" t="s">
        <v>15</v>
      </c>
      <c r="B284" s="1" t="s">
        <v>16</v>
      </c>
      <c r="C284" s="1" t="s">
        <v>13</v>
      </c>
      <c r="D284" s="1">
        <v>57</v>
      </c>
      <c r="E284" s="1">
        <v>72</v>
      </c>
      <c r="F284" s="1">
        <v>5</v>
      </c>
      <c r="G284" s="1">
        <v>196</v>
      </c>
      <c r="H284" s="1">
        <v>13132</v>
      </c>
      <c r="I284" s="1" t="s">
        <v>14</v>
      </c>
      <c r="J284" s="1">
        <f t="shared" si="4"/>
        <v>67</v>
      </c>
    </row>
    <row r="285" spans="1:10" x14ac:dyDescent="0.3">
      <c r="A285" s="2" t="s">
        <v>30</v>
      </c>
      <c r="B285" s="2" t="s">
        <v>10</v>
      </c>
      <c r="C285" s="2" t="s">
        <v>13</v>
      </c>
      <c r="D285" s="2">
        <v>56</v>
      </c>
      <c r="E285" s="2">
        <v>56</v>
      </c>
      <c r="F285" s="2">
        <v>10</v>
      </c>
      <c r="G285" s="2">
        <v>251</v>
      </c>
      <c r="H285" s="2">
        <v>11546</v>
      </c>
      <c r="I285" s="2" t="s">
        <v>12</v>
      </c>
      <c r="J285" s="2">
        <f t="shared" si="4"/>
        <v>46</v>
      </c>
    </row>
    <row r="286" spans="1:10" x14ac:dyDescent="0.3">
      <c r="A286" s="1" t="s">
        <v>20</v>
      </c>
      <c r="B286" s="1" t="s">
        <v>16</v>
      </c>
      <c r="C286" s="1" t="s">
        <v>24</v>
      </c>
      <c r="D286" s="1">
        <v>70</v>
      </c>
      <c r="E286" s="1">
        <v>70</v>
      </c>
      <c r="F286" s="1">
        <v>0</v>
      </c>
      <c r="G286" s="1">
        <v>218</v>
      </c>
      <c r="H286" s="1">
        <v>15260</v>
      </c>
      <c r="I286" s="1" t="s">
        <v>12</v>
      </c>
      <c r="J286" s="1">
        <f t="shared" si="4"/>
        <v>70</v>
      </c>
    </row>
    <row r="287" spans="1:10" x14ac:dyDescent="0.3">
      <c r="A287" s="2" t="s">
        <v>20</v>
      </c>
      <c r="B287" s="2" t="s">
        <v>16</v>
      </c>
      <c r="C287" s="2" t="s">
        <v>25</v>
      </c>
      <c r="D287" s="2">
        <v>57</v>
      </c>
      <c r="E287" s="2">
        <v>67</v>
      </c>
      <c r="F287" s="2">
        <v>0</v>
      </c>
      <c r="G287" s="2">
        <v>131</v>
      </c>
      <c r="H287" s="2">
        <v>8777</v>
      </c>
      <c r="I287" s="2" t="s">
        <v>14</v>
      </c>
      <c r="J287" s="2">
        <f t="shared" si="4"/>
        <v>67</v>
      </c>
    </row>
    <row r="288" spans="1:10" x14ac:dyDescent="0.3">
      <c r="A288" s="1" t="s">
        <v>30</v>
      </c>
      <c r="B288" s="1" t="s">
        <v>10</v>
      </c>
      <c r="C288" s="1" t="s">
        <v>17</v>
      </c>
      <c r="D288" s="1">
        <v>104</v>
      </c>
      <c r="E288" s="1">
        <v>114</v>
      </c>
      <c r="F288" s="1">
        <v>5</v>
      </c>
      <c r="G288" s="1">
        <v>255</v>
      </c>
      <c r="H288" s="1">
        <v>27795</v>
      </c>
      <c r="I288" s="1" t="s">
        <v>12</v>
      </c>
      <c r="J288" s="1">
        <f t="shared" si="4"/>
        <v>109</v>
      </c>
    </row>
    <row r="289" spans="1:10" x14ac:dyDescent="0.3">
      <c r="A289" s="2" t="s">
        <v>29</v>
      </c>
      <c r="B289" s="2" t="s">
        <v>19</v>
      </c>
      <c r="C289" s="2" t="s">
        <v>11</v>
      </c>
      <c r="D289" s="2">
        <v>82</v>
      </c>
      <c r="E289" s="2">
        <v>87</v>
      </c>
      <c r="F289" s="2">
        <v>0</v>
      </c>
      <c r="G289" s="2">
        <v>180</v>
      </c>
      <c r="H289" s="2">
        <v>15660</v>
      </c>
      <c r="I289" s="2" t="s">
        <v>12</v>
      </c>
      <c r="J289" s="2">
        <f t="shared" si="4"/>
        <v>87</v>
      </c>
    </row>
    <row r="290" spans="1:10" x14ac:dyDescent="0.3">
      <c r="A290" s="1" t="s">
        <v>15</v>
      </c>
      <c r="B290" s="1" t="s">
        <v>16</v>
      </c>
      <c r="C290" s="1" t="s">
        <v>11</v>
      </c>
      <c r="D290" s="1">
        <v>119</v>
      </c>
      <c r="E290" s="1">
        <v>129</v>
      </c>
      <c r="F290" s="1">
        <v>10</v>
      </c>
      <c r="G290" s="1">
        <v>164</v>
      </c>
      <c r="H290" s="1">
        <v>19516</v>
      </c>
      <c r="I290" s="1" t="s">
        <v>12</v>
      </c>
      <c r="J290" s="1">
        <f t="shared" si="4"/>
        <v>119</v>
      </c>
    </row>
    <row r="291" spans="1:10" x14ac:dyDescent="0.3">
      <c r="A291" s="2" t="s">
        <v>30</v>
      </c>
      <c r="B291" s="2" t="s">
        <v>10</v>
      </c>
      <c r="C291" s="2" t="s">
        <v>11</v>
      </c>
      <c r="D291" s="2">
        <v>48</v>
      </c>
      <c r="E291" s="2">
        <v>58</v>
      </c>
      <c r="F291" s="2">
        <v>10</v>
      </c>
      <c r="G291" s="2">
        <v>244</v>
      </c>
      <c r="H291" s="2">
        <v>11712</v>
      </c>
      <c r="I291" s="2" t="s">
        <v>12</v>
      </c>
      <c r="J291" s="2">
        <f t="shared" si="4"/>
        <v>48</v>
      </c>
    </row>
    <row r="292" spans="1:10" x14ac:dyDescent="0.3">
      <c r="A292" s="1" t="s">
        <v>22</v>
      </c>
      <c r="B292" s="1" t="s">
        <v>23</v>
      </c>
      <c r="C292" s="1" t="s">
        <v>25</v>
      </c>
      <c r="D292" s="1">
        <v>88</v>
      </c>
      <c r="E292" s="1">
        <v>93</v>
      </c>
      <c r="F292" s="1">
        <v>5</v>
      </c>
      <c r="G292" s="1">
        <v>72</v>
      </c>
      <c r="H292" s="1">
        <v>6336</v>
      </c>
      <c r="I292" s="1" t="s">
        <v>14</v>
      </c>
      <c r="J292" s="1">
        <f t="shared" si="4"/>
        <v>88</v>
      </c>
    </row>
    <row r="293" spans="1:10" x14ac:dyDescent="0.3">
      <c r="A293" s="2" t="s">
        <v>31</v>
      </c>
      <c r="B293" s="2" t="s">
        <v>32</v>
      </c>
      <c r="C293" s="2" t="s">
        <v>13</v>
      </c>
      <c r="D293" s="2">
        <v>32</v>
      </c>
      <c r="E293" s="2">
        <v>32</v>
      </c>
      <c r="F293" s="2">
        <v>0</v>
      </c>
      <c r="G293" s="2">
        <v>67</v>
      </c>
      <c r="H293" s="2">
        <v>2144</v>
      </c>
      <c r="I293" s="2" t="s">
        <v>12</v>
      </c>
      <c r="J293" s="2">
        <f t="shared" si="4"/>
        <v>32</v>
      </c>
    </row>
    <row r="294" spans="1:10" x14ac:dyDescent="0.3">
      <c r="A294" s="1" t="s">
        <v>31</v>
      </c>
      <c r="B294" s="1" t="s">
        <v>32</v>
      </c>
      <c r="C294" s="1" t="s">
        <v>25</v>
      </c>
      <c r="D294" s="1">
        <v>31</v>
      </c>
      <c r="E294" s="1">
        <v>46</v>
      </c>
      <c r="F294" s="1">
        <v>10</v>
      </c>
      <c r="G294" s="1">
        <v>161</v>
      </c>
      <c r="H294" s="1">
        <v>5796</v>
      </c>
      <c r="I294" s="1" t="s">
        <v>12</v>
      </c>
      <c r="J294" s="1">
        <f t="shared" si="4"/>
        <v>36</v>
      </c>
    </row>
    <row r="295" spans="1:10" x14ac:dyDescent="0.3">
      <c r="A295" s="2" t="s">
        <v>26</v>
      </c>
      <c r="B295" s="2" t="s">
        <v>27</v>
      </c>
      <c r="C295" s="2" t="s">
        <v>13</v>
      </c>
      <c r="D295" s="2">
        <v>125</v>
      </c>
      <c r="E295" s="2">
        <v>140</v>
      </c>
      <c r="F295" s="2">
        <v>0</v>
      </c>
      <c r="G295" s="2">
        <v>283</v>
      </c>
      <c r="H295" s="2">
        <v>39620</v>
      </c>
      <c r="I295" s="2" t="s">
        <v>14</v>
      </c>
      <c r="J295" s="2">
        <f t="shared" si="4"/>
        <v>140</v>
      </c>
    </row>
    <row r="296" spans="1:10" x14ac:dyDescent="0.3">
      <c r="A296" s="1" t="s">
        <v>30</v>
      </c>
      <c r="B296" s="1" t="s">
        <v>10</v>
      </c>
      <c r="C296" s="1" t="s">
        <v>24</v>
      </c>
      <c r="D296" s="1">
        <v>134</v>
      </c>
      <c r="E296" s="1">
        <v>144</v>
      </c>
      <c r="F296" s="1">
        <v>0</v>
      </c>
      <c r="G296" s="1">
        <v>190</v>
      </c>
      <c r="H296" s="1">
        <v>27360</v>
      </c>
      <c r="I296" s="1" t="s">
        <v>14</v>
      </c>
      <c r="J296" s="1">
        <f t="shared" si="4"/>
        <v>144</v>
      </c>
    </row>
    <row r="297" spans="1:10" x14ac:dyDescent="0.3">
      <c r="A297" s="2" t="s">
        <v>9</v>
      </c>
      <c r="B297" s="2" t="s">
        <v>10</v>
      </c>
      <c r="C297" s="2" t="s">
        <v>13</v>
      </c>
      <c r="D297" s="2">
        <v>198</v>
      </c>
      <c r="E297" s="2">
        <v>198</v>
      </c>
      <c r="F297" s="2">
        <v>5</v>
      </c>
      <c r="G297" s="2">
        <v>52</v>
      </c>
      <c r="H297" s="2">
        <v>10036</v>
      </c>
      <c r="I297" s="2" t="s">
        <v>14</v>
      </c>
      <c r="J297" s="2">
        <f t="shared" si="4"/>
        <v>193</v>
      </c>
    </row>
    <row r="298" spans="1:10" x14ac:dyDescent="0.3">
      <c r="A298" s="1" t="s">
        <v>22</v>
      </c>
      <c r="B298" s="1" t="s">
        <v>23</v>
      </c>
      <c r="C298" s="1" t="s">
        <v>17</v>
      </c>
      <c r="D298" s="1">
        <v>131</v>
      </c>
      <c r="E298" s="1">
        <v>146</v>
      </c>
      <c r="F298" s="1">
        <v>10</v>
      </c>
      <c r="G298" s="1">
        <v>146</v>
      </c>
      <c r="H298" s="1">
        <v>19856</v>
      </c>
      <c r="I298" s="1" t="s">
        <v>12</v>
      </c>
      <c r="J298" s="1">
        <f t="shared" si="4"/>
        <v>136</v>
      </c>
    </row>
    <row r="299" spans="1:10" x14ac:dyDescent="0.3">
      <c r="A299" s="2" t="s">
        <v>28</v>
      </c>
      <c r="B299" s="2" t="s">
        <v>10</v>
      </c>
      <c r="C299" s="2" t="s">
        <v>11</v>
      </c>
      <c r="D299" s="2">
        <v>171</v>
      </c>
      <c r="E299" s="2">
        <v>176</v>
      </c>
      <c r="F299" s="2">
        <v>10</v>
      </c>
      <c r="G299" s="2">
        <v>291</v>
      </c>
      <c r="H299" s="2">
        <v>48306</v>
      </c>
      <c r="I299" s="2" t="s">
        <v>12</v>
      </c>
      <c r="J299" s="2">
        <f t="shared" si="4"/>
        <v>166</v>
      </c>
    </row>
    <row r="300" spans="1:10" x14ac:dyDescent="0.3">
      <c r="A300" s="1" t="s">
        <v>22</v>
      </c>
      <c r="B300" s="1" t="s">
        <v>23</v>
      </c>
      <c r="C300" s="1" t="s">
        <v>25</v>
      </c>
      <c r="D300" s="1">
        <v>94</v>
      </c>
      <c r="E300" s="1">
        <v>99</v>
      </c>
      <c r="F300" s="1">
        <v>0</v>
      </c>
      <c r="G300" s="1">
        <v>124</v>
      </c>
      <c r="H300" s="1">
        <v>12276</v>
      </c>
      <c r="I300" s="1" t="s">
        <v>12</v>
      </c>
      <c r="J300" s="1">
        <f t="shared" si="4"/>
        <v>99</v>
      </c>
    </row>
    <row r="301" spans="1:10" x14ac:dyDescent="0.3">
      <c r="A301" s="2" t="s">
        <v>30</v>
      </c>
      <c r="B301" s="2" t="s">
        <v>10</v>
      </c>
      <c r="C301" s="2" t="s">
        <v>21</v>
      </c>
      <c r="D301" s="2">
        <v>129</v>
      </c>
      <c r="E301" s="2">
        <v>129</v>
      </c>
      <c r="F301" s="2">
        <v>10</v>
      </c>
      <c r="G301" s="2">
        <v>272</v>
      </c>
      <c r="H301" s="2">
        <v>32368</v>
      </c>
      <c r="I301" s="2" t="s">
        <v>12</v>
      </c>
      <c r="J301" s="2">
        <f t="shared" si="4"/>
        <v>119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F32" sqref="F32"/>
    </sheetView>
  </sheetViews>
  <sheetFormatPr defaultRowHeight="14.4" x14ac:dyDescent="0.3"/>
  <cols>
    <col min="1" max="1" width="12.88671875" bestFit="1" customWidth="1"/>
    <col min="2" max="2" width="10.33203125" bestFit="1" customWidth="1"/>
    <col min="3" max="3" width="17.88671875" bestFit="1" customWidth="1"/>
    <col min="4" max="4" width="17.21875" bestFit="1" customWidth="1"/>
  </cols>
  <sheetData>
    <row r="1" spans="1:4" x14ac:dyDescent="0.3">
      <c r="A1" t="s">
        <v>7</v>
      </c>
      <c r="B1" t="s">
        <v>35</v>
      </c>
      <c r="C1" t="s">
        <v>36</v>
      </c>
      <c r="D1" t="s">
        <v>37</v>
      </c>
    </row>
    <row r="2" spans="1:4" x14ac:dyDescent="0.3">
      <c r="A2" s="8">
        <f>SUM(ZeptoSales[Revenue])</f>
        <v>5783351</v>
      </c>
      <c r="B2" s="10">
        <f>SUM(ZeptoSales[Orders])</f>
        <v>50446</v>
      </c>
      <c r="C2" s="7">
        <f>SUM(ZeptoSales[Revenue])/SUM(ZeptoSales[Orders])</f>
        <v>114.64439202315347</v>
      </c>
      <c r="D2" s="9">
        <f>AVERAGE(ZeptoSales[Discount]/100)</f>
        <v>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5" zoomScaleNormal="75" workbookViewId="0">
      <selection activeCell="Z12" sqref="Z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Sheet5</vt:lpstr>
      <vt:lpstr>Sheet6</vt:lpstr>
      <vt:lpstr>Sheet7</vt:lpstr>
      <vt:lpstr>Sheet8</vt:lpstr>
      <vt:lpstr>zepto_sales_dataset</vt:lpstr>
      <vt:lpstr>KPIs</vt:lpstr>
      <vt:lpstr>Dashboard</vt:lpstr>
      <vt:lpstr>zepto_sales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Pranal Shirsat</dc:creator>
  <cp:lastModifiedBy>acer</cp:lastModifiedBy>
  <dcterms:created xsi:type="dcterms:W3CDTF">2026-02-12T20:24:14Z</dcterms:created>
  <dcterms:modified xsi:type="dcterms:W3CDTF">2026-02-13T09:09:56Z</dcterms:modified>
</cp:coreProperties>
</file>